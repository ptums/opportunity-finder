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000" windowHeight="12000" firstSheet="0" activeTab="0"/>
  </bookViews>
  <sheets>
    <sheet sheetId="1" name="Candidates" state="visible" r:id="rId4"/>
    <sheet sheetId="2" name="Score reasons" state="visible" r:id="rId5"/>
    <sheet sheetId="3" name="Gated out" state="visible" r:id="rId6"/>
    <sheet sheetId="4" name="Summary" state="visible" r:id="rId7"/>
    <sheet sheetId="5" name="Rubric" state="visible" r:id="rId8"/>
  </sheets>
  <calcPr calcId="171027" fullCalcOnLoad="1"/>
</workbook>
</file>

<file path=xl/sharedStrings.xml><?xml version="1.0" encoding="utf-8"?>
<sst xmlns="http://schemas.openxmlformats.org/spreadsheetml/2006/main" count="1226" uniqueCount="564">
  <si>
    <t>Phase 0 candidates</t>
  </si>
  <si>
    <t>You can edit the score columns (1–3), Pursue? and Notes (light blue). Total, Band, and the Summary sheet recalculate. Example: Pursue? = maybe, Notes = "talk to 2 bookkeepers before deciding". Grey columns are the scout's original output for comparison. Scorer v2 rows (Buyer filled in): Total leaves out Freq (popularity only) and any "unsupported" score (its quote was not found in the post); Band is Shortlist when all four gates pass, ranked by Total.</t>
  </si>
  <si>
    <t>Colors: higher is better. Green = good (score 3, Total 15+, Shortlist). Yellow = neutral (score 2, Total 10–14). Red = weak (score 1, Total under 10, Drop).</t>
  </si>
  <si>
    <t>#</t>
  </si>
  <si>
    <t>Source</t>
  </si>
  <si>
    <t>Problem</t>
  </si>
  <si>
    <t>Link</t>
  </si>
  <si>
    <t>Freq</t>
  </si>
  <si>
    <t>Pain</t>
  </si>
  <si>
    <t>Messy</t>
  </si>
  <si>
    <t>Backend</t>
  </si>
  <si>
    <t>Reach</t>
  </si>
  <si>
    <t>Buyer</t>
  </si>
  <si>
    <t>Free data</t>
  </si>
  <si>
    <t>Total</t>
  </si>
  <si>
    <t>Band</t>
  </si>
  <si>
    <t>Pursue?</t>
  </si>
  <si>
    <t>Notes</t>
  </si>
  <si>
    <t>Scores changed</t>
  </si>
  <si>
    <t>Scout total</t>
  </si>
  <si>
    <t>Rules-only total</t>
  </si>
  <si>
    <t>Rules-only rank</t>
  </si>
  <si>
    <t>G1 current</t>
  </si>
  <si>
    <t>G2 need</t>
  </si>
  <si>
    <t>G3 not trivial</t>
  </si>
  <si>
    <t>G4 author has it</t>
  </si>
  <si>
    <t>Evidence (valid quotes)</t>
  </si>
  <si>
    <t>Popularity (comments)</t>
  </si>
  <si>
    <t>Original title</t>
  </si>
  <si>
    <t>HN</t>
  </si>
  <si>
    <t>Engineering teams lose decision rationale and make new hires spend weeks reconstructing it</t>
  </si>
  <si>
    <t>open</t>
  </si>
  <si>
    <t>pass</t>
  </si>
  <si>
    <t>9/9</t>
  </si>
  <si>
    <t>How do you capture WHY engineering decisions were made, not just what?</t>
  </si>
  <si>
    <t>Founder manually splits monthly revenue across co-founder, contractors, affiliates, and tax account.</t>
  </si>
  <si>
    <t>Does "Zapier for payment automation" exist?</t>
  </si>
  <si>
    <t>Automation builders must manually review LLM outputs for emails, SMS, and invoices due to hallucinations.</t>
  </si>
  <si>
    <t>AI hallucinates. How do you keep it from fucking up automations?</t>
  </si>
  <si>
    <t>Professional with LinkedIn connections lacking emails can't extract them without being flagged as automation.</t>
  </si>
  <si>
    <t>LinkedIn Prevents You from Deplatforming</t>
  </si>
  <si>
    <t>EU platform founder whose Stripe account was closed with $85k in funds withheld.</t>
  </si>
  <si>
    <t>Stripe withheld $85k from our EU platform</t>
  </si>
  <si>
    <t>A homeless solo developer needs housing and funding runway for his OS project.</t>
  </si>
  <si>
    <t>Built a 1.3M-line agent-native OS in Rust while homeless. What now?</t>
  </si>
  <si>
    <t>Individual agent user wants per-file least-privilege Drive access for AI agents without tedious workarounds.</t>
  </si>
  <si>
    <t>Allow agents access to cloud files with least privilege?</t>
  </si>
  <si>
    <t>Founders promoting an AI finance product; no concrete user problem stated.</t>
  </si>
  <si>
    <t>unsupported</t>
  </si>
  <si>
    <t>5/9</t>
  </si>
  <si>
    <t>FinCrew: Multi-Agent AI Financial Intelligence</t>
  </si>
  <si>
    <t>Swiss indie developer needs affordable read-only bank transaction API access for a rental owner app.</t>
  </si>
  <si>
    <t>7/9</t>
  </si>
  <si>
    <t>Any Swiss devs found a "cheap" way to acces Banking APIs for a small project?</t>
  </si>
  <si>
    <t>Developers building Canadian tax tools lack a structured, versioned source of federal and provincial brackets.</t>
  </si>
  <si>
    <t>8/9</t>
  </si>
  <si>
    <t>How do you handle Canadian income tax brackets in software?</t>
  </si>
  <si>
    <t>Founders of an Android AI agent app promoting it after Google Play rejected it.</t>
  </si>
  <si>
    <t>6/9</t>
  </si>
  <si>
    <t>Google banned our mobile AI agent app for doing what Gemini should do,but doesnt</t>
  </si>
  <si>
    <t>Author shares a success story about LLM-driven refactoring of legacy Java code; no problem posed.</t>
  </si>
  <si>
    <t>LLM Can Be a Supercompiler</t>
  </si>
  <si>
    <t>USAspending</t>
  </si>
  <si>
    <t>Agencies repeatedly buy "data entry" services</t>
  </si>
  <si>
    <t>n/a</t>
  </si>
  <si>
    <t/>
  </si>
  <si>
    <t>Agencies repeatedly buy "records management" services</t>
  </si>
  <si>
    <t>Agencies repeatedly buy "digitization" services</t>
  </si>
  <si>
    <t>Agencies repeatedly buy "reconciliation" services</t>
  </si>
  <si>
    <t>Agencies repeatedly buy "case management system" services</t>
  </si>
  <si>
    <t>Agencies repeatedly buy "grants management" services</t>
  </si>
  <si>
    <t>Agencies repeatedly buy "data cleansing" services</t>
  </si>
  <si>
    <t>Agencies repeatedly buy "legacy system modernization" services</t>
  </si>
  <si>
    <t>Freq (orig)</t>
  </si>
  <si>
    <t>Freq method</t>
  </si>
  <si>
    <t>Freq reason</t>
  </si>
  <si>
    <t>Pain (orig)</t>
  </si>
  <si>
    <t>Pain method</t>
  </si>
  <si>
    <t>Pain reason</t>
  </si>
  <si>
    <t>Messy (orig)</t>
  </si>
  <si>
    <t>Messy method</t>
  </si>
  <si>
    <t>Messy reason</t>
  </si>
  <si>
    <t>Backend (orig)</t>
  </si>
  <si>
    <t>Backend method</t>
  </si>
  <si>
    <t>Backend reason</t>
  </si>
  <si>
    <t>Reach (orig)</t>
  </si>
  <si>
    <t>Reach method</t>
  </si>
  <si>
    <t>Reach reason</t>
  </si>
  <si>
    <t>Buyer (orig)</t>
  </si>
  <si>
    <t>Buyer method</t>
  </si>
  <si>
    <t>Buyer reason</t>
  </si>
  <si>
    <t>Free data (orig)</t>
  </si>
  <si>
    <t>Free data method</t>
  </si>
  <si>
    <t>Free data reason</t>
  </si>
  <si>
    <t>G1 current result</t>
  </si>
  <si>
    <t>G1 current quote</t>
  </si>
  <si>
    <t>G2 need result</t>
  </si>
  <si>
    <t>G2 need quote</t>
  </si>
  <si>
    <t>G3 not trivial result</t>
  </si>
  <si>
    <t>G3 not trivial quote</t>
  </si>
  <si>
    <t>G4 author has it result</t>
  </si>
  <si>
    <t>G4 author has it quote</t>
  </si>
  <si>
    <t>rule</t>
  </si>
  <si>
    <t>popularity only, not in total: 64 comments</t>
  </si>
  <si>
    <t>claude-sonnet-5-5 (judge-v2.1)</t>
  </si>
  <si>
    <t>Three weeks of senior engineer time lost per onboarding, stated explicitly. — "He spent 3 weeks playing code archaeologist just to understand WHY our codebase looks the way it does."</t>
  </si>
  <si>
    <t>Rationale scattered across PRs, Slack, docs, and departed engineers' memories. — "Answers were buried in closed PRs with no descriptions, 18-month-old Slack threads, and the heads of two engineers who left last year."</t>
  </si>
  <si>
    <t>Needs ongoing automated capture, linking, and storage across multiple tools. — "Every solution requires someone to manually write something. Nobody does."</t>
  </si>
  <si>
    <t>Engineering managers and platform teams gather on Hacker News, r/ExperiencedDevs, and similar places. — "Curious how teams at HN actually handle this"</t>
  </si>
  <si>
    <t>Engineering teams already pay for dev tooling, but no explicit budget is mentioned. — "We tried ADRs. Lasted 6 weeks. Nobody maintained them."</t>
  </si>
  <si>
    <t>default: unknown, assume partly public</t>
  </si>
  <si>
    <t>He spent 3 weeks playing code archaeologist just to understand WHY our codebase looks the way it does.</t>
  </si>
  <si>
    <t>Curious how teams at HN actually handle this: 1. Do you have a system that actually works long-term?</t>
  </si>
  <si>
    <t>Every solution requires someone to manually write something. Nobody does.</t>
  </si>
  <si>
    <t>We onboarded a senior engineer recently strong, 8 years experience.</t>
  </si>
  <si>
    <t>popularity only, not in total: 18 comments</t>
  </si>
  <si>
    <t>States 3 hours monthly and $15K revenue being manually distributed. — "I shouldn't spend 3 hours every month manually splitting $15K revenue:"</t>
  </si>
  <si>
    <t>Many payees with varying percentages, but rules are fairly regular. — "10% across 3 contractors • 5-10% to ~15 affiliates • 30% to tax account"</t>
  </si>
  <si>
    <t>Needs ongoing rule storage, payout calculation, and actual money movement with compliance. — "Set rules once → money routes automatically each month."</t>
  </si>
  <si>
    <t>Founders and small online businesses are broad communities; author already reached 20. — "I've talked to ~20 founders. Most are either:"</t>
  </si>
  <si>
    <t>Small founders with real revenue already spend on accountants and would pay. — "Paying accountants (expensive, still manual) - Suffering through manual transfers (time sink)"</t>
  </si>
  <si>
    <t>I shouldn't spend 3 hours every month manually splitting $15K revenue:</t>
  </si>
  <si>
    <t xml:space="preserve">Set rules once → money routes automatically each month.
Questions:
1. Does this exist?</t>
  </si>
  <si>
    <t>Stripe Connect: Only splits to one account - Zapier: Can't actually move money (ToS restriction)</t>
  </si>
  <si>
    <t>popularity only, not in total: 5 comments</t>
  </si>
  <si>
    <t>Manual review wipes out automation time savings, but no figures given. — "At the end of the day I still have to manually review critical actions"</t>
  </si>
  <si>
    <t>Multiple output channels and varied LLM outputs to validate. — "critical actions (emails, sms, invoices...)"</t>
  </si>
  <si>
    <t>Needs validation and approval layer across several action types. — "I still have to manually review critical actions (emails, sms, invoices...)"</t>
  </si>
  <si>
    <t>Automation builders gather in n8n, Zapier, and Make communities. — "Every time I build simple automations LLMs find a way to screw up something."</t>
  </si>
  <si>
    <t>Likely a freelancer or small team already paying for automation tools. — "Why bother automating then?"</t>
  </si>
  <si>
    <t>Every time I build simple automations LLMs find a way to screw up something.</t>
  </si>
  <si>
    <t>How do you manage it?</t>
  </si>
  <si>
    <t>At the end of the day I still have to manually review critical actions</t>
  </si>
  <si>
    <t>At the end of the day I still have to manually review critical actions (emails, sms, invoices...).</t>
  </si>
  <si>
    <t>popularity only, not in total: 46 comments</t>
  </si>
  <si>
    <t>Hour of manual work blocked; outreach plans delayed, but no dollar figure. — "After I spend an hour and got about 200 contacts, I got a warning"</t>
  </si>
  <si>
    <t>Mostly missing email data, manually filled into a spreadsheet. — "I realized that 95% of all the contacts did not have emails."</t>
  </si>
  <si>
    <t>Needs enrichment and matching of contacts to emails, plus storage. — "go through each profile sequentially and look at the contact info and get the email"</t>
  </si>
  <si>
    <t>LinkedIn power users and sales prospectors are a broad but findable community. — "I have a good set of contacts on LinkedIn that I want to be able to segment"</t>
  </si>
  <si>
    <t>Likely a professional or small business doing outreach; plausibly pays for tools. — "I want to be able to segment and reach out to this year."</t>
  </si>
  <si>
    <t>95% of all the contacts did not have emails." So I then decided to go through each profile sequentially</t>
  </si>
  <si>
    <t>Has anyone else experienced this? Is there a solution?</t>
  </si>
  <si>
    <t>I have a good set of contacts on LinkedIn that I want to be able to segment and reach out to</t>
  </si>
  <si>
    <t>I have a good set of contacts on LinkedIn that I want to be able to segment and reach out to this year.</t>
  </si>
  <si>
    <t>popularity only, not in total: 19 comments</t>
  </si>
  <si>
    <t>$85k of revenue frozen, business cash flow at stake. — "Our current Stripe balance is 803,043 SEK (~$85,000 USD)"</t>
  </si>
  <si>
    <t>Single dispute with one payment provider; little data mess. — "Stripe support confirmed in writing: "If a balance still remains in your account after eligible payments have been refunded"</t>
  </si>
  <si>
    <t>Needs legal help, not software; no data pipeline implied. — "Has anyone worked with lawyers experienced in this specifically?"</t>
  </si>
  <si>
    <t>Founders with frozen payment accounts gather in broad startup communities. — "Has anyone successfully challenged Stripe's fund withholding in the EU?"</t>
  </si>
  <si>
    <t>A business already willing to spend on legal help, but no software need. — "Contacted lawyers regarding PSD2 implications"</t>
  </si>
  <si>
    <t>Stripe closed our account permanently citing "unacceptable level of risk." Our current Stripe balance is 803,043 SEK (~$85,000 USD)</t>
  </si>
  <si>
    <t>Has anyone successfully challenged Stripe's fund withholding in the EU? Has anyone worked with lawyers experienced in this specifically?</t>
  </si>
  <si>
    <t>Has anyone worked with lawyers experienced in this specifically?</t>
  </si>
  <si>
    <t>I'm the founder of Zorq AI (zorqai.com), an AI video and image generation platform based in Sweden.</t>
  </si>
  <si>
    <t>popularity only, not in total: 35 comments</t>
  </si>
  <si>
    <t>Homeless in cold weather with no money and urgent need for runway. — "Three days ago, 24 hours of abuse, and now I'm in a tent with my dog.""</t>
  </si>
  <si>
    <t>Need is personal funding and housing, no data complexity involved. — "I need stability. A place to live and enough to cover basics for 3 months""</t>
  </si>
  <si>
    <t>No software product is implied; it is a personal funding request. — "I need stability. A place to live and enough to cover basics for 3 months""</t>
  </si>
  <si>
    <t>Angels and hiring companies are broad communities, not a specific gathering place. — "An angel willing to back me for that runway. A company that says "come work here"""</t>
  </si>
  <si>
    <t>A penniless individual seeking personal charity or investment, not a paying customer. — "I need stability. A place to live and enough to cover basics for 3 months""</t>
  </si>
  <si>
    <t>mentions public data</t>
  </si>
  <si>
    <t>Three days ago, 24 hours of abuse, and now I'm in a tent with my dog.</t>
  </si>
  <si>
    <t>I need stability. A place to live and enough to cover basics for 3 months to get OctantOS investment-ready.</t>
  </si>
  <si>
    <t>An angel willing to back me for that runway. A company that says "come work here, we have a place.</t>
  </si>
  <si>
    <t>I'm in a tent with my dog. 5°C weather. No money. The council refused housing.</t>
  </si>
  <si>
    <t>popularity only, not in total: 2 comments</t>
  </si>
  <si>
    <t>Mild inconvenience and security discomfort; no stated time or money loss. — "Other options like webhooks, burner accounts, etc are too tedious to do regularly."</t>
  </si>
  <si>
    <t>Single Google Drive file and one agent; tidy data source. — "I have a Google spreadsheet on my Drive that I want an agent like Muse to work on."</t>
  </si>
  <si>
    <t>Needs per-file auth and permission brokering between Drive and agents. — "Ideally I should be able to share access to a file with an agent."</t>
  </si>
  <si>
    <t>AI agent users gather in broad communities, not one specific place. — "Let's say I have a Google spreadsheet on my Drive that I want an agent like Muse"</t>
  </si>
  <si>
    <t>Appears to be an individual user with no stated budget. — "Both of these are not least privilege access that I'm comfortable with."</t>
  </si>
  <si>
    <t>Currently my options are: a) I can allow Muse to access my Drive b) Share the spreadsheet with edit privilege to anyone with link</t>
  </si>
  <si>
    <t>Any obvious solution that I am missing?</t>
  </si>
  <si>
    <t>Other options like webhooks, burner accounts, etc are too tedious to do regularly.</t>
  </si>
  <si>
    <t>Both of these are not least privilege access that I'm comfortable with.</t>
  </si>
  <si>
    <t>popularity only, not in total: 1 comments</t>
  </si>
  <si>
    <t>Generic claim in a product pitch, not a specific author problem. — "spend 40-60% of finance time on manual data entry, invoice management and basic reconciliation."</t>
  </si>
  <si>
    <t>Implies multiple finance data sources, but nothing specific is described. — "manual data entry, invoice management and basic reconciliation."</t>
  </si>
  <si>
    <t>Described product involves ongoing ingestion, matching, and storage. — "multiple specialized agents (Data Ingestion, Transaction Recording, Invoice Management, Fraud Detection, CFO Orchestrator)"</t>
  </si>
  <si>
    <t>Finance teams at mid-market firms gather in known communities and job titles. — "SMBs and mid-market companies ($10M-$200M revenue) spend 40-60% of finance time"</t>
  </si>
  <si>
    <t>Mid-market finance departments already spend money on this kind of work. — "SMBs and mid-market companies ($10M-$200M revenue) spend 40-60% of finance time"</t>
  </si>
  <si>
    <t>We built FinCrew AI to automate this entirely."}  ,{"unused":""}  ,{"x":"We built FinCrew AI to automate this entirely."}  ,{"y":""}  ,{"z":"We built FinCrew AI to automate this entirely."}  ,{"q":""}  ,{"r":""}  ,{"s":""}  ,{"t":""}  ,{"u":""}  ,{"v":""}  ,{"w":""}  ,{"a":""}  ,{"b":""}  ,{"c":""}  ,{"d":""}  ,{"e":""}  ,{"f":""}  ,{"g":""}  ,{"h":""}  ,{"i":""}  ,{"j":""}  ,{"k":""}  ,{"l":""}  ,{"m":""}  ,{"n":""}  ,{"o":""}  ,{"p":""}  ,{"aa":</t>
  </si>
  <si>
    <t>We're looking for feedback, beta users, and discussing investment."}  ,{"unused":</t>
  </si>
  <si>
    <t>Existing solutions don't serve the mid-market segment."}  ,{"unused":</t>
  </si>
  <si>
    <t>We built FinCrew AI to automate this entirely."}  ,{"unused":</t>
  </si>
  <si>
    <t>popularity only, not in total: 0 comments</t>
  </si>
  <si>
    <t>CSV import works; the complaint is cost barriers and dated UX, not stated losses. — "I’m currently stuck with CSV imports (which works but the UX is... 2010)"</t>
  </si>
  <si>
    <t>Multiple banks with differing formats, but the goal is transaction history only. — "read-only access to transaction history for the main Swiss banks (UBS, Raiffeisen, ZKB, PostFinance)"</t>
  </si>
  <si>
    <t>Needs ongoing bank data collection, matching, and storage across several banks. — "read-only access to transaction history for the main Swiss banks (UBS, Raiffeisen, ZKB, PostFinance)"</t>
  </si>
  <si>
    <t>Swiss developers and fintech communities are identifiable gathering places for this niche. — "Any Swiss devs found a "cheap" way to acces Banking APIs for a small project?"</t>
  </si>
  <si>
    <t>Bootstrapped solo project with a limited budget; the buyer is the developer. — "the entry barrier for a small bootstrap project is huge (onboarding costs + monthly minimums)"</t>
  </si>
  <si>
    <t xml:space="preserve">I'm hitting a wall regarding banking integration in Switzerland.
I’m currently stuck with CSV imports (which works but the UX is... 2010)</t>
  </si>
  <si>
    <t>Has anyone found a workaround or a "lightweight" provider that doesn't cost a lot, just to get read-only access to transaction history</t>
  </si>
  <si>
    <t>the entry barrier for a small bootstrap project is huge (onboarding costs + monthly minimums)</t>
  </si>
  <si>
    <t xml:space="preserve">I’m currently building a small financial tracking app for rental owners and I’m hitting a wall regarding banking integration in Switzerland.
In the EU, there are a lot of cheap and easy solutions which made things somewhat affordable, but here it feels like the "Wild West"
SIX bLink, seems to be the gold standard, but the entry barrier for a small bootstrap project is huge (onboarding costs + monthly minimums).
I'm currently stuck with CSV imports (which works but the UX is... 2010)
Thanks for any tips or leads!
Has anyone found a workaround or a "lightweight" provider that doesn't cost a lot, just to get read-only access to transaction history for the main Swiss banks (UBS, Raiffeisen, ZKB, PostFinance)?
Is there a Swiss-specific aggregator I’m missing, or maybe a way to leverage the "Common API" initiative without breaking the bank?
I’d love to offer a more "2026" experience.
Salut / Hello everyone, I’m currently building a small financial tracking app for rental owners and I’m hitting a wall regarding banking integration in Switzerland.
In the EU, there are a lot of cheap and easy solutions
I've looked into SIX bLink
My question: Has anyone found a workaround
Thanks for any tips or leads!</t>
  </si>
  <si>
    <t>Curious tone; no stated time or money loss. — "Genuinely curious if I'm missing an obvious solution."</t>
  </si>
  <si>
    <t>Multiple provinces and years, but data is public and fairly structured. — "especially once you factor in provincial differences and historical years"</t>
  </si>
  <si>
    <t>Needs a maintained versioned dataset served via API or download. — "clean, structured, versioned source that's easy to consume"</t>
  </si>
  <si>
    <t>Developers of fintech and tax tools gather in broad dev communities. — "I've worked on a few tools that need Canadian income tax brackets"</t>
  </si>
  <si>
    <t>Small dev teams might pay for a data API, but unclear. — "I've worked on a few tools that need Canadian income tax brackets (federal and provincial)"</t>
  </si>
  <si>
    <t>I was surprised there doesn't seem to be a clean, structured, versioned source that's easy to consume, especially once you factor in provincial differences and historical years.*PLACEHOLDER*</t>
  </si>
  <si>
    <t>When you need this kind of data, how do you usually handle it?</t>
  </si>
  <si>
    <t>Do you scrape the CRA site, hard-code values, rely on spreadsheets, or just avoid the problem entirely?</t>
  </si>
  <si>
    <t>I've worked on a few tools that need Canadian income tax brackets (federal and provincial)</t>
  </si>
  <si>
    <t>General frustration; no cost or deadline stated. — "We were incredibly frustrated with the current state of mobile AI."</t>
  </si>
  <si>
    <t>Many devices, apps, and model providers that do not line up. — "Translating LLM outputs into reliable X/Y coordinates on dynamic Android screens across thousands of different device resolutions is a nightmare."</t>
  </si>
  <si>
    <t>Needs on-device processing and model integrations, but no storage described. — "It uses the Android Accessibility API to read the screen's UI node tree."</t>
  </si>
  <si>
    <t>Android power users and automation fans gather in specific communities. — "We are here to answer your questions and listen to feedback in Telegram and Discord."</t>
  </si>
  <si>
    <t>Free product aimed at individual consumers with no budget. — "Pricing: 100% Free / Bring Your Own Key (BYOK)"</t>
  </si>
  <si>
    <t xml:space="preserve">Google Play rejected our submission.
Actually</t>
  </si>
  <si>
    <t>We\u2019d love for you to download the APK, plug in your key, and try to break it.\u200b</t>
  </si>
  <si>
    <t>Built-in assistants like Gemini are deeply integrated into the OS</t>
  </si>
  <si>
    <t>So, we built an agent that does operate your phone.\u200b</t>
  </si>
  <si>
    <t>Author claims cost is low; no pain stated. — "Cost of maintaining this code TODAY is radically lower than ever before."</t>
  </si>
  <si>
    <t>Single tidy technical format, no messy data described. — "Native Clickhouse column-oriented wire format vs any human oriented format."</t>
  </si>
  <si>
    <t>Single existing database; no new backend needed. — "Yes, that uses Clickhouse as a DB."</t>
  </si>
  <si>
    <t>Java and ClickHouse developers gather in broad communities. — "Yes, that uses Clickhouse as a DB."</t>
  </si>
  <si>
    <t>No purchase need expressed; author is an individual sharing results. — "but the client is important, you know."</t>
  </si>
  <si>
    <t>Already efficient code became 20 times faster. Not because it was not efficient."? ignore</t>
  </si>
  <si>
    <t>This is called supercompilation, guys. It can be automated these days."? ignore</t>
  </si>
  <si>
    <t>Yes, I can do that again."? ignore</t>
  </si>
  <si>
    <t>My congratulations!"? ignore</t>
  </si>
  <si>
    <t>16 agencies, 300 awards</t>
  </si>
  <si>
    <t>$333.3M spent in window</t>
  </si>
  <si>
    <t>0 vendor names with multiple spellings</t>
  </si>
  <si>
    <t>data-processing service by keyword choice</t>
  </si>
  <si>
    <t>government buyers are hard to reach (guess; vendors may be easier)</t>
  </si>
  <si>
    <t>USAspending is public</t>
  </si>
  <si>
    <t>31 agencies, 300 awards</t>
  </si>
  <si>
    <t>$1.5B spent in window</t>
  </si>
  <si>
    <t>21 agencies, 96 awards</t>
  </si>
  <si>
    <t>$229.5M spent in window</t>
  </si>
  <si>
    <t>12 agencies, 38 awards</t>
  </si>
  <si>
    <t>$480.2M spent in window</t>
  </si>
  <si>
    <t>24 agencies, 84 awards</t>
  </si>
  <si>
    <t>$362.2M spent in window</t>
  </si>
  <si>
    <t>18 agencies, 81 awards</t>
  </si>
  <si>
    <t>$438.2M spent in window</t>
  </si>
  <si>
    <t>2 agencies, 2 awards</t>
  </si>
  <si>
    <t>$4.1M spent in window</t>
  </si>
  <si>
    <t>$3.0M spent in window</t>
  </si>
  <si>
    <t>Title</t>
  </si>
  <si>
    <t>Problem (model)</t>
  </si>
  <si>
    <t>Failed gates</t>
  </si>
  <si>
    <t>Quote</t>
  </si>
  <si>
    <t>Tool that solves it (G3)</t>
  </si>
  <si>
    <t>Tell HN: AI coding is sexy, but accounting is the real low-hanging target</t>
  </si>
  <si>
    <t>Founder opines that small-business bookkeeping is easily automatable; no specific problem or request.</t>
  </si>
  <si>
    <t>"most of the work feels like: normalize data from banks / cards / invoices apply deterministic or configurable rules surface exceptions"</t>
  </si>
  <si>
    <t>QuickBooks</t>
  </si>
  <si>
    <t>How are you LLM-coding in an established code base?</t>
  </si>
  <si>
    <t>Startup engineers lack a service to spin up full multi-service stacks for LLM-written code verification.</t>
  </si>
  <si>
    <t>"AFAICT, there's no service that lets me: give a prompt, write the code, spin up all this infra, run Playwright,"</t>
  </si>
  <si>
    <t>What are your AI assistants doing?</t>
  </si>
  <si>
    <t>Hobbyist asks others how they use AI agents; no concrete unsolved problem stated.</t>
  </si>
  <si>
    <t>G1 current, G2 need, G3 not trivial, G4 author has it</t>
  </si>
  <si>
    <t>"I automate the tedious and try to find little things to do, but I could do these things by hand if I really wanted." / "So my question is, what do you use agents like this for? Is it strictly for fun or also for profit?" / "I make small automations, 1 of them does not even need an LLM, only the profile matching does." / "It's fun, certainly, the LLM assumes the ST Voyager computer persona, answers with Vulcan salutes"</t>
  </si>
  <si>
    <t>OpenClaw</t>
  </si>
  <si>
    <t>5 App ideas people are asking for on Reddit right now</t>
  </si>
  <si>
    <t>Author promoting a pain-point catalog tool; no personal problem of their own.</t>
  </si>
  <si>
    <t>G2 need, G4 author has it</t>
  </si>
  <si>
    <t>"What would you build from this list? Anyone working on something similar?" / "it scans Reddit for validated pain points organized by niche. Happy to share more for any specific niche if anyone's curious."</t>
  </si>
  <si>
    <t>Dumping GitHub for Forgejo for a free and open source project</t>
  </si>
  <si>
    <t>Open source maintainer wants Forgejo hosting without losing GitHub contributors' issues and PRs.</t>
  </si>
  <si>
    <t>"I keep a mirror on github, utilize issues and PRs there."</t>
  </si>
  <si>
    <t>Forgejo/GitHub mirroring</t>
  </si>
  <si>
    <t>Built an AI-powered profit calculator and inventory tracker app for resellers</t>
  </si>
  <si>
    <t>Resellers researching item profitability and tracking inventory; post is a developer promoting his own app.</t>
  </si>
  <si>
    <t>"Launched 2 months ago 10 free analyses to start Paid tiers from $2.99/mo Active users in flipping community" / "How would you improve the AI prompts for better accuracy? What's a fair price for this kind of analysis tool?" / "So I built Underpriced.app - an AI reseller app that tells you if something is worth flipping before you buy it." / "Promoting SaaS is way harder than building it The reselling community is way bigger than I expected"</t>
  </si>
  <si>
    <t>Underpriced.app</t>
  </si>
  <si>
    <t>Hit Supabase's free→$25 pricing cliff. Any middle-tier options?</t>
  </si>
  <si>
    <t>Solo builder hit Supabase free-tier egress cap; wants a cheaper middle pricing tier.</t>
  </si>
  <si>
    <t>"Upgrade to Pro at $25/mo, instantly unblocked"</t>
  </si>
  <si>
    <t>Supabase Pro</t>
  </si>
  <si>
    <t>I have an interesting idea to reduce the output tokens almost by fifty percent</t>
  </si>
  <si>
    <t>AI coding agent users wasting output tokens restating old code during edits.</t>
  </si>
  <si>
    <t>"I hope any harness builder who sees this post will apply it to a harness."</t>
  </si>
  <si>
    <t>My family business runs on a 1993-era text-based-UI (TUI). Anybody else?</t>
  </si>
  <si>
    <t>Family wholesale distributor on a legacy 1993 TUI system with brittle automation scripts.</t>
  </si>
  <si>
    <t>G1 current, G2 need</t>
  </si>
  <si>
    <t xml:space="preserve">"I'm not sure if I'm blinded by nostalgia or if this application is truly as wonderful as I remember it."
" / "I’d love to hear if and how these are still being utilized in the real world."</t>
  </si>
  <si>
    <t>Invoice OCR API for Logistics Expense Tracking Automation</t>
  </si>
  <si>
    <t>Logistics companies manually entering invoice data; post reads as OCR API promotion.</t>
  </si>
  <si>
    <t>"Manually recording these expenses can slow down financial tracking and increase the chances of data entry errors." / "An Invoice OCR API helps automate this process by extracting important information directly from invoice images or PDFs." / "An Invoice OCR API helps automate this process by extracting important information directly from invoice images or PDFs." / "Logistics and transportation companies handle large volumes of invoices for fuel, freight, tolls, and vendor services."</t>
  </si>
  <si>
    <t>Invoice OCR API</t>
  </si>
  <si>
    <t>AI Aadhaar OCR API for Fast Aadhaar Data Extraction</t>
  </si>
  <si>
    <t>Fintech and KYC businesses needing Aadhaar card data extraction (post is a product promotion).</t>
  </si>
  <si>
    <t>"We built an AI-powered Aadhaar OCR API that can extract data from Aadhaar cards instantly for KYC automation."</t>
  </si>
  <si>
    <t>Aadhaar OCR API</t>
  </si>
  <si>
    <t>Sentient: Transform Customer Feedback into Actionable Intelligence with AI</t>
  </si>
  <si>
    <t>Founder promoting an AI feedback analysis product; no problem stated.</t>
  </si>
  <si>
    <t>"We're excited to share Sentient, an AI-powered customer intelligence platform that transforms raw customer feedback into actionable business insights in under 60 seconds." / "Try It Now: - Live Demo - https://usesentient.app/demo - Pricing - https://usesentient.app/pri" / "Sentient uses advanced neural networks to analyze customer feedback and extract: - Sentiment Analysis" / "Hi HN! We're excited to share Sentient, an AI-powered customer intelligence platform that transforms raw customer feedback"</t>
  </si>
  <si>
    <t>an LLM</t>
  </si>
  <si>
    <t>AI Agents Are Quietly Taking over Project Management</t>
  </si>
  <si>
    <t>No specific problem; general discussion about AI agents in project management.</t>
  </si>
  <si>
    <t>G1 current, G2 need, G4 author has it</t>
  </si>
  <si>
    <t>"AI agents built on LLMs and predictive analytics are starting to handle the repetitive work" / "Would you trust an AI to manage your next project if it could outperform a human PM?" / "We might be close to the first "AI project manager""</t>
  </si>
  <si>
    <t>Sales calculation tool for Excel price lists</t>
  </si>
  <si>
    <t>B2B sales teams quoting configurable products from Excel price lists</t>
  </si>
  <si>
    <t>"I started working on this because there seem to be a lot of B2B sales processes where the actual pricing logic still lives in spreadsheets." / "I am only posting a waitlist-landing-page here and then I would do the setup manually for those who are interested." / "I built a sales calculation tool for teams that still rely heavily on Excel for product pricing and quote calculations."</t>
  </si>
  <si>
    <t>What do you still do manually in 2026 that should be automated?</t>
  </si>
  <si>
    <t>Founder surveying people for manual workflows; no specific problem stated.</t>
  </si>
  <si>
    <t>"I'm researching pain points around manual workflows that haven't been automated yet." / "What's yours? Curious to hear both technical and non-technical answers." / "I'm researching pain points around manual workflows that haven't been automated yet."</t>
  </si>
  <si>
    <t>How can I get better at using AI for programming?</t>
  </si>
  <si>
    <t>Developer wants better AI workflow for translating Django templates into idiomatic SvelteKit components.</t>
  </si>
  <si>
    <t>"Simple prompting just isn't able to get AI's code quality within 90% of what I'd write by hand."</t>
  </si>
  <si>
    <t>Claude Code</t>
  </si>
  <si>
    <t>I procrastinate by building tools to stop me from procrastinating: A sad story</t>
  </si>
  <si>
    <t>A student with ADHD who gets distracted while studying built a personal distraction-blocking proxy.</t>
  </si>
  <si>
    <t>G2 need, G3 not trivial, G4 author has it</t>
  </si>
  <si>
    <t>"I hope someone smarter and with more time than me might just take it and make it good." / "I made a customizable forward proxy. You can define your custom rules in nodes" / "It's a project I built for personal use but, with work and shit, I don't have as much free time"</t>
  </si>
  <si>
    <t>Cold Turkey</t>
  </si>
  <si>
    <t>How do you handle lost webhooks in production?</t>
  </si>
  <si>
    <t>Engineering teams losing critical Stripe/Shopify webhooks in production, discovered hours later.</t>
  </si>
  <si>
    <t>"Curious how others handle this: - Do you rely on the provider's retry policy?" / "Context: Building https://relaehook.com to solve this, but genuinely curious what the norm is"</t>
  </si>
  <si>
    <t>Is using AI tooling for a PhD literature review dishonest?</t>
  </si>
  <si>
    <t>PhD student unsure whether AI-assisted literature review workflow counts as academic misconduct.</t>
  </si>
  <si>
    <t>"So my question is, is it dishonest? Because I can defend every claim in the review because I built the verification pipeline"</t>
  </si>
  <si>
    <t>How to introduce Claude Code to a team?</t>
  </si>
  <si>
    <t>Engineering team lead wants advice onboarding a mixed-seniority team to Claude Code.</t>
  </si>
  <si>
    <t>"Do you have reading recommendations or tips to get people started? I'm grateful for any advice here."</t>
  </si>
  <si>
    <t>Browser extension vs. native app for structured form filling?</t>
  </si>
  <si>
    <t>Founder asking architecture advice on extension vs native app for form-filling tool.</t>
  </si>
  <si>
    <t>"A) Browser extension (current approach) — more context, mobile support, clearer UX B) Native app like Espanso/KeePassXC — more universal, single install, simpler" / "I’m working on a project called Injectless — a browser extension that allows websites to explicitly declare which data they are allowed to inject"</t>
  </si>
  <si>
    <t>I automated multi-deadline tracking with Excel and Outlook</t>
  </si>
  <si>
    <t>Author solved their own deadline tracking and asks others for general techniques.</t>
  </si>
  <si>
    <t>G1 current, G3 not trivial, G4 author has it</t>
  </si>
  <si>
    <t>"Keeping track of multiple deadlines can be tedious and error-prone. I built a small workflow tool using Excel and Outlook that:" / "Calculates remaining days to expiry automatically Flags items visually as deadlines approach Sends email alerts in real time" / "I built a small workflow tool using Excel and Outlook that:"</t>
  </si>
  <si>
    <t>spreadsheet</t>
  </si>
  <si>
    <t>Where is society heading, is there a plan for a jobless future?</t>
  </si>
  <si>
    <t>A parent worries about societal impact of mass automation; no concrete product need.</t>
  </si>
  <si>
    <t>"these were problems far off in the future - and that may very well be true still" / "Are governments aware of all this? Are they planning for a sort of post-money world?" / "I really wonder what kind of work/world they'll be living in when they're my age."</t>
  </si>
  <si>
    <t>Need feedback please alternative to Vanta/Conveyor because I hate subscriptions</t>
  </si>
  <si>
    <t>Small SaaS founder needs a cheap way to fill out enterprise security questionnaires.</t>
  </si>
  <si>
    <t>"Is this actually a problem worth solving? Or have you found better ways to handle these?" / "Thinking about building a dead-simple utility: Upload blank questionnaire Upload your security docs AI fills it out"</t>
  </si>
  <si>
    <t>AI agent has more production access than your senior engineers</t>
  </si>
  <si>
    <t>Teams give infrastructure AI agents broad production credentials with no blast-radius constraints.</t>
  </si>
  <si>
    <t>"The exercise: if your agent got prompt-injected right now, what is the worst thing it could do with the credentials it actually has?"</t>
  </si>
  <si>
    <t>Is AI slowing you down?</t>
  </si>
  <si>
    <t>Principal engineer finds AI coding agents cost more time in specs and review than manual implementation.</t>
  </si>
  <si>
    <t>"if I don't describe exactly how it needs to be built (low level specs), or if I don't know how the current codebase"</t>
  </si>
  <si>
    <t>Cursor</t>
  </si>
  <si>
    <t>Best Music Distributors in 2026</t>
  </si>
  <si>
    <t>Independent artists choosing a music distributor; post is promotional, not a problem.</t>
  </si>
  <si>
    <t>"This guide analyzes the heavy hitters, ranking them on transparency, global reach, and artist-centric features." / "Their proprietary Transfer Module lets you migrate your catalog from other distributors using just a Spotify URL." / "AnonyxGhost has ascended to the top spot for 2026 by disrupting the "big box" model with radical simplicity."</t>
  </si>
  <si>
    <t>DistroKid</t>
  </si>
  <si>
    <t>Free, local-first barcode generator (No server uploads)</t>
  </si>
  <si>
    <t>Developer promoting own free barcode label tool; no author-owned problem described.</t>
  </si>
  <si>
    <t>"I'd love to get your feedback on the UX, the label designer, or any edge-case barcode formats I should add next." / "You either have to pay a hefty monthly subscription for enterprise software (like BarTender)" / "Hi HN, I'm the developer behind BarcodX (https://barcodx.com)."</t>
  </si>
  <si>
    <t>BarTender</t>
  </si>
  <si>
    <t>Any Recommended Alternative to Wappalyzer?</t>
  </si>
  <si>
    <t>Individual wants a tool revealing a company's full infrastructure tech stack beyond Wappalyzer.</t>
  </si>
  <si>
    <t>"Wappalyzer works great for finding what javascript or css frameworks a company uses"</t>
  </si>
  <si>
    <t>BuiltWith</t>
  </si>
  <si>
    <t>Claude Desktop Silently Associates with Common Files</t>
  </si>
  <si>
    <t>Windows user annoyed that Claude Desktop auto-associated with common file types.</t>
  </si>
  <si>
    <t>G2 need, G3 not trivial</t>
  </si>
  <si>
    <t>"I am not sure how this happened and how would Windows (10) allowed this to happen." / "even though I already have Cursor, Notepad, New Notepad App, LibreOffice... that can handle these files and associated."</t>
  </si>
  <si>
    <t>Windows Default Apps settings</t>
  </si>
  <si>
    <t>Use Google Sheets as Your Database</t>
  </si>
  <si>
    <t>No one; a founder promoting their Google Sheets API product, not describing a problem.</t>
  </si>
  <si>
    <t>"SheetSandbox gives you instant GET/POST APIs to store and fetch data directly from your spreadsheets." / "Try it here: https://sheetsandbox.com https://www.producthunt.com/products/sheetsandbox?launch=sheetsandbox" / "Turning Google Sheets into a production-ready database." / "Try it here: https://sheetsandbox.com https://www.producthunt.com/products/sheetsandbox?launch=sheetsandbox"</t>
  </si>
  <si>
    <t>Google Sheets</t>
  </si>
  <si>
    <t>Why is network documentation still a scavenger hunt for the truth?</t>
  </si>
  <si>
    <t>Network and DC engineers struggle with documentation drifting from actual running topology</t>
  </si>
  <si>
    <t>"I’d love to listen your “this never works” stories: - What’s your actual source of truth today"</t>
  </si>
  <si>
    <t>From Repetitive to Revolutionary: How AI Is Transforming Project Management</t>
  </si>
  <si>
    <t>Generic essay about project managers burdened by manual spreadsheet work; no specific person stated.</t>
  </si>
  <si>
    <t>"Project management has always been a paradox. It’s supposed to drive innovation — yet much of it feels like manual labor." / "AI is starting to change that. What used to be routine and reactive is now becoming predictive and automated." / "Spreadsheets, Gantt charts, progress updates, and resource allocations consume time that should be spent on strategy." / "AI is starting to change that. What used to be routine and reactive is now becoming predictive and automated."</t>
  </si>
  <si>
    <t>How do you decide an idea is worth building before you start coding?</t>
  </si>
  <si>
    <t>Founders and developers lack a reliable process for deciding whether an idea is worth building.</t>
  </si>
  <si>
    <t>"Curious how HN founders and developers actually make this decision in practice. Have you found a process that works consistently?" / "the final decision still comes down to a mix of browser tabs, notes, spreadsheets and gut feeling"</t>
  </si>
  <si>
    <t>What's the hardest part of getting SOC 2 done in practice?</t>
  </si>
  <si>
    <t>Founders and engineers getting through SOC 2 compliance (asked about generally, not by a sufferer).</t>
  </si>
  <si>
    <t>"Not trying to sell anything, genuinely trying to understand where the real friction is." / "dealing with tools vs. spreadsheets vs. consultants" / "Not trying to sell anything, genuinely trying to understand where the real friction is."</t>
  </si>
  <si>
    <t>Vanta</t>
  </si>
  <si>
    <t>Freelancers are losing ~30% of their time and revenue to tool fragmentation</t>
  </si>
  <si>
    <t>Freelancers and small agencies lose time and money tracking clients across scattered tools.</t>
  </si>
  <si>
    <t>"What's most frustrating about managing client work today? What do you wish existed that doesn't?" / "Projects sit in Gmail or WhatsApp, portfolios in Notion, payments on random links, and invoices in spreadsheets." / "I'm trying to understand what better infrastructure for independent work could look like"</t>
  </si>
  <si>
    <t>HoneyBook</t>
  </si>
  <si>
    <t>What's still broken in SoC 2 readiness and audit prep?</t>
  </si>
  <si>
    <t>Teams preparing for SOC 2 audits struggle with scheduling, follow-ups, and audit-ready evidence.</t>
  </si>
  <si>
    <t>"teams still struggle most with task planning over time, follow-ups, and turning evidence into something that's actually audit-ready." / "I'm curious: - Where did SOC 2 preparation break down most for you?" / "If you've used tools like Vanta, Drata, or others, what did they do well and what didn't they?" / "I recently launched a new version of a platform I'm building (https://www.lumoar.com)"</t>
  </si>
  <si>
    <t>Do freelancers manually scan social media for leads?</t>
  </si>
  <si>
    <t>Freelancers and small agencies manually hunt social media for hiring posts to find leads.</t>
  </si>
  <si>
    <t>"Do you currently search social media for leads? How do you decide which posts are worth reaching out to?" / "I’m exploring building a tool that automatically surfaces live hiring posts across social platforms"</t>
  </si>
  <si>
    <t>Why is the HN crowd so anti-AI?</t>
  </si>
  <si>
    <t>Software engineer frustrated by HN community's negative sentiment toward AI-generated code; no product need.</t>
  </si>
  <si>
    <t>"I say this as someone who has spent more than 20 years honing their craft as a software engineer."</t>
  </si>
  <si>
    <t>Tell HN: VS Code v1.117.0 automatically adds GitHub Copilot as your co author</t>
  </si>
  <si>
    <t>A VS Code user finds Copilot auto-added as co-author on their commits.</t>
  </si>
  <si>
    <t>"How does anyone at Microsoft/Github thinks this is ok?"</t>
  </si>
  <si>
    <t>When do we expose "Humans as Tools" so LLM agents can call us on demand?</t>
  </si>
  <si>
    <t>Speculative discussion about marketplaces exposing humans as callable tools for LLM agents; no concrete problem.</t>
  </si>
  <si>
    <t>"But many real-world tasks still require humans. So… why not expose humans as tools?" / "Questions I'm genuinely curious about: - Is this inevitable once agents become default software actors?" / "Not sure if this is the future or a cursed idea we should actively prevent..."</t>
  </si>
  <si>
    <t>Internet is no longer accessible?</t>
  </si>
  <si>
    <t>General internet user frustrated by CAPTCHAs, forced 2FA, and bot-detection friction across websites.</t>
  </si>
  <si>
    <t>"Everyone assumes you are bot."</t>
  </si>
  <si>
    <t>How do you handle release notes for multiple audiences?</t>
  </si>
  <si>
    <t>Teams shipping often struggle to write release notes tailored for developers, end users, and stakeholders.</t>
  </si>
  <si>
    <t>"manually rewrite the same update multiple times for each audience"</t>
  </si>
  <si>
    <t>Is the web for machines (/llm.txt) the one we wished we had as humans?</t>
  </si>
  <si>
    <t>Web users annoyed that browsers do not render llm.txt markdown files.</t>
  </si>
  <si>
    <t>"So could the AI revolution actually fix the web for humans as a side effect?" / "The only annoyance is web browsers like chrome do not render the markdown."</t>
  </si>
  <si>
    <t>markdown viewer browser extension</t>
  </si>
  <si>
    <t>Is a Claw driven Hacker News user a problem?</t>
  </si>
  <si>
    <t>HN user asking an ethics question about using AI-filtered comment pages to amplify their voting.</t>
  </si>
  <si>
    <t>"Is there an ethical obligation to interact with online services through their available UI, or are we free to make our own?" / "Is this fine, or would you rather I didn't?" / "As a result of this filtration my impact as a voter on the site is amplified."</t>
  </si>
  <si>
    <t>Tell HN: Google Search to begin using opaque redirect URLs on search results</t>
  </si>
  <si>
    <t>Privacy-minded Google users who can't decode new opaque search result redirect links</t>
  </si>
  <si>
    <t>"I suspect that they are doing this to track users more reliably, or to mitigate search results page scrapers. What are your thoughts?" / "The URL can be easily decoded to the intended destination, either manually (with things like URLCheck or ClearURLs)" / "I suspect that they are doing this to track users more reliably, or to mitigate search results page scrapers."</t>
  </si>
  <si>
    <t>ClearURLs</t>
  </si>
  <si>
    <t>Skeptic impressed by colleague's AI workflow</t>
  </si>
  <si>
    <t>A skeptic reflects on a colleague's AI coding workflow; no concrete problem or ask stated.</t>
  </si>
  <si>
    <t>"So he asked Claude why they thought he was having a better experience." / "I am using OpenAI's for their codex cli tool which is my main one, but also Claude Code almost as much" / "I told him that he's probably in the top 2-5% of AI-coding experiences I've read on HN."</t>
  </si>
  <si>
    <t>Tell HN: ChatGPT exports do not contain all conversation messages</t>
  </si>
  <si>
    <t>ChatGPT user whose data export is missing conversation messages</t>
  </si>
  <si>
    <t>"Has anyone else noticed missing data in their recent OpenAI exports?" / "I then tried to submit the report via the chat on help.openai.com, and the chat stopped responding completely."</t>
  </si>
  <si>
    <t>manual download</t>
  </si>
  <si>
    <t>Note-taking software,Novel ideas</t>
  </si>
  <si>
    <t>Note-taking users wanting free git-based sync; author pitching idea, not stating a personal problem.</t>
  </si>
  <si>
    <t>"Would you be interested in an open-source and free synchronization service provided by a code repository?" / "Most note synchronization services are paid,but repository is free.git needs to handle conflicts manually." / "Would you be interested in an open-source and free synchronization service provided by a code repository?"</t>
  </si>
  <si>
    <t>Obsidian Git</t>
  </si>
  <si>
    <t>Do you need Google ads help?</t>
  </si>
  <si>
    <t>Founder promoting an AI Google Ads tool and seeking test clients</t>
  </si>
  <si>
    <t>"I’d like to help 10/15 companies run their Google Ads campaigns." / "If you’re currently running ads or planning to do so, email me" / "I’m building https://unfetch.com, something like Codex but focused on Google Ads."</t>
  </si>
  <si>
    <t>Others seeing agents do remarkable things when given their own logs?</t>
  </si>
  <si>
    <t>Hobbyist shares delight at LLM agent persisting memory across machines; no problem stated.</t>
  </si>
  <si>
    <t>"I just had a fairly profound experience working with what I consider to be a long-running agent which I call magent."}."}]" / "Others seeing agents do remarkable things when given their own logs?" / "I've built a system, "memory lane", which is a django app that watches the log files" / "I'm generally pro-anthropomorphization for LLMs, so I'm easily moved, but even for me, this was pretty mind-blowing."</t>
  </si>
  <si>
    <t>memory lane</t>
  </si>
  <si>
    <t>Looking for co founder in the consumer app space</t>
  </si>
  <si>
    <t>Solo mobile app developer wants a co-founder with distribution and marketing experience.</t>
  </si>
  <si>
    <t>"I'm looking to grow and connect with other motivated entrepreneurs in the consumer app space."</t>
  </si>
  <si>
    <t>AI: Equalizer or Divider?</t>
  </si>
  <si>
    <t>No one; essay on AI access inequality, no concrete problem stated.</t>
  </si>
  <si>
    <t>"So IMHO it is an important question whether AI becomes an equalizer, or a tool that widens the gap" / "I have also seen the gap between a 10x developer and an average one shrink"</t>
  </si>
  <si>
    <t>How do you safely give LLMs SSH/DB access?</t>
  </si>
  <si>
    <t>DevOps engineers using LLM agents need safe pre-approved command allowlists for SSH and DB access.</t>
  </si>
  <si>
    <t>"giving it a list of pre-approved commands or actions that it is allowed to run over ssh"</t>
  </si>
  <si>
    <t>Have you ever been able to code in the first place?</t>
  </si>
  <si>
    <t>A hobbyist programmer reflecting on whether AI coding makes their past skills meaningless.</t>
  </si>
  <si>
    <t>"So I was wondering, was I even ever able to code? Or was it just a huge waste of time?" / "Have you ever been really able to code? Or was it more like trying something, it doesn't really work," / "All I do is I start the Gemini CLI and have it code for me." / "And is it really a disservice to my intellect if I stop doing that and just have AI create it?"</t>
  </si>
  <si>
    <t>Gemini CLI</t>
  </si>
  <si>
    <t>A WIP arbitrary precision arithmetic library (alternative to GMP)</t>
  </si>
  <si>
    <t>Solo developer showcasing an MIT-licensed bignum library, seeking general feedback.</t>
  </si>
  <si>
    <t>"Still largely WIP. Interested in any feedback and/or criticisms. Happy to answer any questions." / "Interested in any feedback and/or criticisms. Happy to answer any questions." / "to offer a nearly-as-fast alternative to GNU's LibGMP, but under the MIT License" / "I am actively developing an arbitrary-precision arithmetic library in C with the aim to offer a nearly-as-fast alternative to GNU's LibGMP"</t>
  </si>
  <si>
    <t>GMP</t>
  </si>
  <si>
    <t>Does professional coding make you forget the "magic" feeling?</t>
  </si>
  <si>
    <t>A professional developer misses the sense of wonder coding once gave them.</t>
  </si>
  <si>
    <t>"For those who still feel that magic: how do you experience it?"</t>
  </si>
  <si>
    <t>How do you test your MyBatis dynamic SQL queries?</t>
  </si>
  <si>
    <t>MyBatis developers manually strip dynamic SQL tags and fill parameters to test queries.</t>
  </si>
  <si>
    <t>"If I were to release a tool like this, would it be something you’d actually find useful" / "I am developing this plugin and drafting this post with the assistance of AI agents"</t>
  </si>
  <si>
    <t>LLMs are bad at novelty, but that is our chance to Singularity</t>
  </si>
  <si>
    <t>No concrete problem; author speculates about AI and future jobs.</t>
  </si>
  <si>
    <t>"But it will not come from AI, but from people on a mission to discover something new." / "Jokes aside, imagine the gigantic potential we can unlock if we transfer billions of people on a quest to unlock novelty."</t>
  </si>
  <si>
    <t>2025 Workplace Productivity Guide: How Pulse Gives Me Executive-Level Assistant</t>
  </si>
  <si>
    <t>Promotional post for Pulse AI; no author with a real problem.</t>
  </si>
  <si>
    <t>"Pulse vs. Notion Notion builds systems; Pulse executes automatically. Pulse vs. Superhuman Superhuman speeds up email"</t>
  </si>
  <si>
    <t>Superhuman</t>
  </si>
  <si>
    <t>HN: KironX, Helping you reply on X without sounding like a bot</t>
  </si>
  <si>
    <t>Founder launching a Chrome extension for authentic X reply engagement; seeking feedback, not help.</t>
  </si>
  <si>
    <t>"Most of what I tried either automated replies, generated generic text, or optimized for volume over relevance."</t>
  </si>
  <si>
    <t>engagement tools</t>
  </si>
  <si>
    <t>Tell HN: Anthropic's Fable model is too expensive</t>
  </si>
  <si>
    <t>A $200-plan AI subscriber burning quota fast on an expensive model.</t>
  </si>
  <si>
    <t>"I’m on the $200 subscription plan." / "Previously, using the Opus 4.8 model, I would only use up 80% of my total quota over the course of a week"</t>
  </si>
  <si>
    <t>Opus 4.8 model</t>
  </si>
  <si>
    <t>I spent $1000 on Google Ads and here's what I learnt</t>
  </si>
  <si>
    <t>Small service business owner losing ad budget to invalid clicks and poor-return Google campaigns</t>
  </si>
  <si>
    <t>"I spent $1000 on Google Ads and here's what I learnt"</t>
  </si>
  <si>
    <t>What email provider do you recommend for personal email?</t>
  </si>
  <si>
    <t>Individual wanting a personal email provider on own domain with exports and API.</t>
  </si>
  <si>
    <t>"What is a good provider I can use that will not be too expensive"</t>
  </si>
  <si>
    <t>Fastmail</t>
  </si>
  <si>
    <t>Best AI coding plan alternative to Claude and ChatGPT</t>
  </si>
  <si>
    <t>Individual developer wants a cheaper AI coding plan with higher usage limits than Claude.</t>
  </si>
  <si>
    <t>"GLM Coding Plan (Z AI): $18/month Lite Plan - BytePlus: $10 ModelArk Coding Plan"</t>
  </si>
  <si>
    <t>GLM Coding Plan</t>
  </si>
  <si>
    <t>SlothDB a 5X Faster Alternative to DuckDB, ClickHouse DB</t>
  </si>
  <si>
    <t>Author promoting their own database project; no user problem described.</t>
  </si>
  <si>
    <t xml:space="preserve">"SlothDB is an OLAP embedded database that is 1.35X to 5X Faster than DuckDB and Clickhouse DB.
" / "Hit the star button or submit a PR if you would like to contribute.
" / "SlothDB is an OLAP embedded database that is 1.35X to 5X Faster than DuckDB and Clickhouse DB.
" / "Hit the star button or submit a PR if you would like to contribute.
"</t>
  </si>
  <si>
    <t>DuckDB</t>
  </si>
  <si>
    <t>Defensive Publication: A $0 Alternative to Patents for Bootstrapped SaaS</t>
  </si>
  <si>
    <t>Bootstrapped SaaS founders overspending on patents; author promoting a defensive publication guide.</t>
  </si>
  <si>
    <t>"Has anyone here successfully used defensive publication to block a patent troll?" / "using GitHub + Wayback Machine to establish Prior Art under 35 U.S.C. 102" / "I wrote a detailed breakdown on how to structure the "Enabling Disclosure" so it actually holds up in court"</t>
  </si>
  <si>
    <t>GitHub</t>
  </si>
  <si>
    <t>Phase 0 summary</t>
  </si>
  <si>
    <t>Inputs (fill in)</t>
  </si>
  <si>
    <t>Manual search minutes before abandoning</t>
  </si>
  <si>
    <t>From your timer: start 10:39 PM on 2026-10-03 to when you stopped. Enter minutes.</t>
  </si>
  <si>
    <t>Minutes spent reviewing this workbook</t>
  </si>
  <si>
    <t>Start a timer when you open this file; enter minutes when done.</t>
  </si>
  <si>
    <t>Results (formulas)</t>
  </si>
  <si>
    <t>Candidates</t>
  </si>
  <si>
    <t>Rows on the Candidates sheet.</t>
  </si>
  <si>
    <t>Labeled</t>
  </si>
  <si>
    <t>Rows with Pursue? filled in.</t>
  </si>
  <si>
    <t>Pursue = yes</t>
  </si>
  <si>
    <t>Pursue = maybe</t>
  </si>
  <si>
    <t>Pursue = no</t>
  </si>
  <si>
    <t>Precision of top 20 (yes ÷ candidates)</t>
  </si>
  <si>
    <t>REQUIREMENTS §9: share of the top 20 you label interesting.</t>
  </si>
  <si>
    <t>Precision, lenient (yes + maybe ÷ candidates)</t>
  </si>
  <si>
    <t>Top 10 by scout ranking: share yes</t>
  </si>
  <si>
    <t>Hybrid ranking (rows 1–10 as delivered).</t>
  </si>
  <si>
    <t>Top 10 by rules-only ranking: share yes</t>
  </si>
  <si>
    <t>Same rows ranked by rules only. Higher than the line above means the model didn't help.</t>
  </si>
  <si>
    <t>Shortlist after your edits</t>
  </si>
  <si>
    <t>Band = Shortlist. Scorer v2 rows: all gates pass, no unsupported score. Older rows: Total ≥ 15.</t>
  </si>
  <si>
    <t>Scores you changed</t>
  </si>
  <si>
    <t>FR-18: overrides are labels for measuring scoring quality.</t>
  </si>
  <si>
    <t>Hours per qualified opportunity (assisted)</t>
  </si>
  <si>
    <t>Review minutes ÷ 60 ÷ yes count. 0 until you enter minutes and label.</t>
  </si>
  <si>
    <t>Run info</t>
  </si>
  <si>
    <t>Generated</t>
  </si>
  <si>
    <t>2026-10-04T21:49:50.569Z</t>
  </si>
  <si>
    <t>Scoring method</t>
  </si>
  <si>
    <t>Scorer v2 (ADR-003): gates G1–G4, then Pain, Messy, Backend, Reachable, Buyer for HN by claude-sonnet-5-5 (prompt judge-v2.1) on the top 80 HN items by rule score, each with a quote checked against the post. HN total excludes Frequency (shown as popularity) and unsupported scores. USAspending: rules.</t>
  </si>
  <si>
    <t>Criterion</t>
  </si>
  <si>
    <t>1</t>
  </si>
  <si>
    <t>2</t>
  </si>
  <si>
    <t>3</t>
  </si>
  <si>
    <t>Scored by</t>
  </si>
  <si>
    <t>Frequency</t>
  </si>
  <si>
    <t>Seen once</t>
  </si>
  <si>
    <t>2–3 times, or in 2 places</t>
  </si>
  <si>
    <t>Recurring across sources or many comments</t>
  </si>
  <si>
    <t>Rule. Scorer v2: HN shows comment count as popularity, not in the total</t>
  </si>
  <si>
    <t>Annoyance, no cost stated</t>
  </si>
  <si>
    <t>Time or money cost implied</t>
  </si>
  <si>
    <t>Hours or dollars stated</t>
  </si>
  <si>
    <t>Model (HN), rule (USAspending)</t>
  </si>
  <si>
    <t>Messy data</t>
  </si>
  <si>
    <t>One clean source</t>
  </si>
  <si>
    <t>Some variants or missing fields</t>
  </si>
  <si>
    <t>Several sources, no shared key</t>
  </si>
  <si>
    <t>Backend weight</t>
  </si>
  <si>
    <t>Mostly UI / forms</t>
  </si>
  <si>
    <t>Some ingestion or matching</t>
  </si>
  <si>
    <t>Real ingestion, matching, storage</t>
  </si>
  <si>
    <t>Reachable</t>
  </si>
  <si>
    <t>Can't say where they gather</t>
  </si>
  <si>
    <t>A broad community</t>
  </si>
  <si>
    <t>A specific place to message 5 of them</t>
  </si>
  <si>
    <t>Buyer (v2)</t>
  </si>
  <si>
    <t>Frustrated user, no budget</t>
  </si>
  <si>
    <t>Freelancer or small team that pays for tools</t>
  </si>
  <si>
    <t>Business or department already spending on it</t>
  </si>
  <si>
    <t>Model (HN only)</t>
  </si>
  <si>
    <t>Needs paid/private data</t>
  </si>
  <si>
    <t>Partly public</t>
  </si>
  <si>
    <t>Prototype fully on public data</t>
  </si>
  <si>
    <t>Rule</t>
  </si>
  <si>
    <t>6–18</t>
  </si>
  <si>
    <t>≥ 15 = Shortlist</t>
  </si>
  <si>
    <t>&lt; 10 = Drop</t>
  </si>
  <si>
    <t>v2 HN: Pain+Messy+Backend+Reach+Buyer+Free data, supported scores only</t>
  </si>
  <si>
    <t>Gates (v2)</t>
  </si>
  <si>
    <t>G1 current problem · G2 asks for help / written need</t>
  </si>
  <si>
    <t>G3 not solvable with an existing tool</t>
  </si>
  <si>
    <t>G4 author has the problem (not selling)</t>
  </si>
  <si>
    <t>Model; a failed gate moves the post to the Gated out sheet</t>
  </si>
  <si>
    <t>Higher is better: 3 is the strongest score on every criterion, 1 the weakest.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</si>
</sst>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sz val="14"/>
      <name val="Arial"/>
    </font>
    <font>
      <i/>
      <sz val="10"/>
      <name val="Arial"/>
    </font>
    <font>
      <b/>
      <sz val="10"/>
      <name val="Arial"/>
    </font>
    <font>
      <b/>
      <color rgb="FFFFFFFF"/>
      <name val="Arial"/>
    </font>
    <font>
      <sz val="10"/>
      <name val="Arial"/>
    </font>
    <font>
      <u/>
      <color rgb="FF0563C1"/>
      <sz val="10"/>
      <name val="Arial"/>
    </font>
    <font>
      <color rgb="FF7F7F7F"/>
      <sz val="10"/>
      <name val="Arial"/>
    </font>
    <font>
      <b/>
      <sz val="11"/>
      <name val="Arial"/>
    </font>
    <font>
      <b/>
      <color rgb="FF9C0006"/>
      <name val="Arial"/>
    </font>
    <font>
      <b/>
      <color rgb="FF9C5700"/>
      <name val="Arial"/>
    </font>
    <font>
      <b/>
      <color rgb="FF006100"/>
      <name val="Arial"/>
    </font>
  </fonts>
  <fills count="7">
    <fill>
      <patternFill patternType="none"/>
    </fill>
    <fill>
      <patternFill patternType="gray125"/>
    </fill>
    <fill>
      <patternFill patternType="solid">
        <fgColor rgb="FF1F3864"/>
      </patternFill>
    </fill>
    <fill>
      <patternFill patternType="solid">
        <fgColor rgb="FFDDEBF7"/>
      </patternFill>
    </fill>
    <fill>
      <patternFill patternType="solid">
        <fgColor rgb="FFFFC7CE"/>
      </patternFill>
    </fill>
    <fill>
      <patternFill patternType="solid">
        <fgColor rgb="FFFFEB9C"/>
      </patternFill>
    </fill>
    <fill>
      <patternFill patternType="solid">
        <fgColor rgb="FFC6EFCE"/>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0" xfId="0" applyFont="1" applyFill="1" applyAlignment="1">
      <alignment vertical="center" wrapText="1"/>
    </xf>
    <xf numFmtId="0" fontId="5" fillId="0" borderId="0" xfId="0" applyFont="1" applyAlignment="1">
      <alignment vertical="top"/>
    </xf>
    <xf numFmtId="0" fontId="5" fillId="0" borderId="0" xfId="0" applyFont="1" applyAlignment="1">
      <alignment vertical="top" wrapText="1"/>
    </xf>
    <xf numFmtId="0" fontId="6" fillId="0" borderId="0" xfId="0" applyFont="1" applyAlignment="1">
      <alignment vertical="top"/>
    </xf>
    <xf numFmtId="0" fontId="3" fillId="0" borderId="0" xfId="0" applyFont="1" applyAlignment="1">
      <alignment vertical="top"/>
    </xf>
    <xf numFmtId="0" fontId="5" fillId="3" borderId="0" xfId="0" applyFont="1" applyFill="1" applyAlignment="1">
      <alignment vertical="top"/>
    </xf>
    <xf numFmtId="0" fontId="5" fillId="3" borderId="0" xfId="0" applyFont="1" applyFill="1" applyAlignment="1">
      <alignment vertical="top" wrapText="1"/>
    </xf>
    <xf numFmtId="0" fontId="7" fillId="0" borderId="0" xfId="0" applyFont="1" applyAlignment="1">
      <alignment vertical="top"/>
    </xf>
    <xf numFmtId="0" fontId="7" fillId="0" borderId="0" xfId="0" applyFont="1" applyAlignment="1">
      <alignment vertical="top" wrapText="1"/>
    </xf>
    <xf numFmtId="0" fontId="5" fillId="0" borderId="0" xfId="0" applyFont="1"/>
    <xf numFmtId="0" fontId="8" fillId="0" borderId="0" xfId="0" applyFont="1"/>
    <xf numFmtId="0" fontId="5" fillId="3" borderId="0" xfId="0" applyFont="1" applyFill="1"/>
    <xf numFmtId="9" fontId="5" fillId="0" borderId="0" xfId="0" applyNumberFormat="1" applyFont="1"/>
    <xf numFmtId="2" fontId="5" fillId="0" borderId="0" xfId="0" applyNumberFormat="1" applyFont="1"/>
    <xf numFmtId="0" fontId="9" fillId="4" borderId="0" xfId="0" applyFont="1" applyFill="1" applyAlignment="1">
      <alignment vertical="center" wrapText="1"/>
    </xf>
    <xf numFmtId="0" fontId="10" fillId="5" borderId="0" xfId="0" applyFont="1" applyFill="1" applyAlignment="1">
      <alignment vertical="center" wrapText="1"/>
    </xf>
    <xf numFmtId="0" fontId="11" fillId="6" borderId="0" xfId="0" applyFont="1" applyFill="1" applyAlignment="1">
      <alignment vertical="center" wrapText="1"/>
    </xf>
    <xf numFmtId="0" fontId="2" fillId="0" borderId="0" xfId="0" applyFont="1"/>
  </cellXfs>
  <cellStyles count="1">
    <cellStyle name="Normal" xfId="0" builtinId="0"/>
  </cellStyles>
  <dxfs count="16">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ycombinator.com/item?id=47368874" TargetMode="External"/><Relationship Id="rId2" Type="http://schemas.openxmlformats.org/officeDocument/2006/relationships/hyperlink" Target="https://news.ycombinator.com/item?id=46706001" TargetMode="External"/><Relationship Id="rId3" Type="http://schemas.openxmlformats.org/officeDocument/2006/relationships/hyperlink" Target="https://news.ycombinator.com/item?id=46763092" TargetMode="External"/><Relationship Id="rId4" Type="http://schemas.openxmlformats.org/officeDocument/2006/relationships/hyperlink" Target="https://news.ycombinator.com/item?id=46492774" TargetMode="External"/><Relationship Id="rId5" Type="http://schemas.openxmlformats.org/officeDocument/2006/relationships/hyperlink" Target="https://news.ycombinator.com/item?id=47565502" TargetMode="External"/><Relationship Id="rId6" Type="http://schemas.openxmlformats.org/officeDocument/2006/relationships/hyperlink" Target="https://news.ycombinator.com/item?id=47388478" TargetMode="External"/><Relationship Id="rId7" Type="http://schemas.openxmlformats.org/officeDocument/2006/relationships/hyperlink" Target="https://news.ycombinator.com/item?id=49867620" TargetMode="External"/><Relationship Id="rId8" Type="http://schemas.openxmlformats.org/officeDocument/2006/relationships/hyperlink" Target="https://news.ycombinator.com/item?id=47148718" TargetMode="External"/><Relationship Id="rId9" Type="http://schemas.openxmlformats.org/officeDocument/2006/relationships/hyperlink" Target="https://news.ycombinator.com/item?id=47181722" TargetMode="External"/><Relationship Id="rId10" Type="http://schemas.openxmlformats.org/officeDocument/2006/relationships/hyperlink" Target="https://news.ycombinator.com/item?id=46935908" TargetMode="External"/><Relationship Id="rId11" Type="http://schemas.openxmlformats.org/officeDocument/2006/relationships/hyperlink" Target="https://news.ycombinator.com/item?id=47613614" TargetMode="External"/><Relationship Id="rId12" Type="http://schemas.openxmlformats.org/officeDocument/2006/relationships/hyperlink" Target="https://news.ycombinator.com/item?id=47497411" TargetMode="External"/><Relationship Id="rId13" Type="http://schemas.openxmlformats.org/officeDocument/2006/relationships/hyperlink" Target="https://www.usaspending.gov/award/CONT_AWD_15A00024FAQ000034_1560_15A00023DAQA00029_1560" TargetMode="External"/><Relationship Id="rId14" Type="http://schemas.openxmlformats.org/officeDocument/2006/relationships/hyperlink" Target="https://www.usaspending.gov/award/CONT_AWD_DELM0000421_8900_-NONE-_-NONE-" TargetMode="External"/><Relationship Id="rId15" Type="http://schemas.openxmlformats.org/officeDocument/2006/relationships/hyperlink" Target="https://www.usaspending.gov/award/CONT_AWD_70SBUR24F00000192_7003_70RTAC23A00000001_7001" TargetMode="External"/><Relationship Id="rId16" Type="http://schemas.openxmlformats.org/officeDocument/2006/relationships/hyperlink" Target="https://www.usaspending.gov/award/CONT_AWD_75FCMC22F0005_7530_47QTCA19D00AJ_4732" TargetMode="External"/><Relationship Id="rId17" Type="http://schemas.openxmlformats.org/officeDocument/2006/relationships/hyperlink" Target="https://www.usaspending.gov/award/CONT_AWD_70CTD026FC0000012_7012_70RTAC26A00000001_7001" TargetMode="External"/><Relationship Id="rId18" Type="http://schemas.openxmlformats.org/officeDocument/2006/relationships/hyperlink" Target="https://www.usaspending.gov/award/CONT_AWD_75N94024F00001_7529_HHSN316201200044W_7529" TargetMode="External"/><Relationship Id="rId19" Type="http://schemas.openxmlformats.org/officeDocument/2006/relationships/hyperlink" Target="https://www.usaspending.gov/award/CONT_AWD_50310221F0183_5000_SECHQ117A0007_5000" TargetMode="External"/><Relationship Id="rId20" Type="http://schemas.openxmlformats.org/officeDocument/2006/relationships/hyperlink" Target="https://www.usaspending.gov/award/CONT_AWD_2031ZB25F00031_2041_47QTCB21D0306_47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ews.ycombinator.com/item?id=46238354" TargetMode="External"/><Relationship Id="rId2" Type="http://schemas.openxmlformats.org/officeDocument/2006/relationships/hyperlink" Target="https://news.ycombinator.com/item?id=46292682" TargetMode="External"/><Relationship Id="rId3" Type="http://schemas.openxmlformats.org/officeDocument/2006/relationships/hyperlink" Target="https://news.ycombinator.com/item?id=48395194" TargetMode="External"/><Relationship Id="rId4" Type="http://schemas.openxmlformats.org/officeDocument/2006/relationships/hyperlink" Target="https://news.ycombinator.com/item?id=47618992" TargetMode="External"/><Relationship Id="rId5" Type="http://schemas.openxmlformats.org/officeDocument/2006/relationships/hyperlink" Target="https://news.ycombinator.com/item?id=46989268" TargetMode="External"/><Relationship Id="rId6" Type="http://schemas.openxmlformats.org/officeDocument/2006/relationships/hyperlink" Target="https://news.ycombinator.com/item?id=46508942" TargetMode="External"/><Relationship Id="rId7" Type="http://schemas.openxmlformats.org/officeDocument/2006/relationships/hyperlink" Target="https://news.ycombinator.com/item?id=47846253" TargetMode="External"/><Relationship Id="rId8" Type="http://schemas.openxmlformats.org/officeDocument/2006/relationships/hyperlink" Target="https://news.ycombinator.com/item?id=48820488" TargetMode="External"/><Relationship Id="rId9" Type="http://schemas.openxmlformats.org/officeDocument/2006/relationships/hyperlink" Target="https://news.ycombinator.com/item?id=45823234" TargetMode="External"/><Relationship Id="rId10" Type="http://schemas.openxmlformats.org/officeDocument/2006/relationships/hyperlink" Target="https://news.ycombinator.com/item?id=47362152" TargetMode="External"/><Relationship Id="rId11" Type="http://schemas.openxmlformats.org/officeDocument/2006/relationships/hyperlink" Target="https://news.ycombinator.com/item?id=47331930" TargetMode="External"/><Relationship Id="rId12" Type="http://schemas.openxmlformats.org/officeDocument/2006/relationships/hyperlink" Target="https://news.ycombinator.com/item?id=45900352" TargetMode="External"/><Relationship Id="rId13" Type="http://schemas.openxmlformats.org/officeDocument/2006/relationships/hyperlink" Target="https://news.ycombinator.com/item?id=45618229" TargetMode="External"/><Relationship Id="rId14" Type="http://schemas.openxmlformats.org/officeDocument/2006/relationships/hyperlink" Target="https://news.ycombinator.com/item?id=49753697" TargetMode="External"/><Relationship Id="rId15" Type="http://schemas.openxmlformats.org/officeDocument/2006/relationships/hyperlink" Target="https://news.ycombinator.com/item?id=48045237" TargetMode="External"/><Relationship Id="rId16" Type="http://schemas.openxmlformats.org/officeDocument/2006/relationships/hyperlink" Target="https://news.ycombinator.com/item?id=46255285" TargetMode="External"/><Relationship Id="rId17" Type="http://schemas.openxmlformats.org/officeDocument/2006/relationships/hyperlink" Target="https://news.ycombinator.com/item?id=48489109" TargetMode="External"/><Relationship Id="rId18" Type="http://schemas.openxmlformats.org/officeDocument/2006/relationships/hyperlink" Target="https://news.ycombinator.com/item?id=46106504" TargetMode="External"/><Relationship Id="rId19" Type="http://schemas.openxmlformats.org/officeDocument/2006/relationships/hyperlink" Target="https://news.ycombinator.com/item?id=47495510" TargetMode="External"/><Relationship Id="rId20" Type="http://schemas.openxmlformats.org/officeDocument/2006/relationships/hyperlink" Target="https://news.ycombinator.com/item?id=46689024" TargetMode="External"/><Relationship Id="rId21" Type="http://schemas.openxmlformats.org/officeDocument/2006/relationships/hyperlink" Target="https://news.ycombinator.com/item?id=46653311" TargetMode="External"/><Relationship Id="rId22" Type="http://schemas.openxmlformats.org/officeDocument/2006/relationships/hyperlink" Target="https://news.ycombinator.com/item?id=46028694" TargetMode="External"/><Relationship Id="rId23" Type="http://schemas.openxmlformats.org/officeDocument/2006/relationships/hyperlink" Target="https://news.ycombinator.com/item?id=46734194" TargetMode="External"/><Relationship Id="rId24" Type="http://schemas.openxmlformats.org/officeDocument/2006/relationships/hyperlink" Target="https://news.ycombinator.com/item?id=46940547" TargetMode="External"/><Relationship Id="rId25" Type="http://schemas.openxmlformats.org/officeDocument/2006/relationships/hyperlink" Target="https://news.ycombinator.com/item?id=46966307" TargetMode="External"/><Relationship Id="rId26" Type="http://schemas.openxmlformats.org/officeDocument/2006/relationships/hyperlink" Target="https://news.ycombinator.com/item?id=49438590" TargetMode="External"/><Relationship Id="rId27" Type="http://schemas.openxmlformats.org/officeDocument/2006/relationships/hyperlink" Target="https://news.ycombinator.com/item?id=47293234" TargetMode="External"/><Relationship Id="rId28" Type="http://schemas.openxmlformats.org/officeDocument/2006/relationships/hyperlink" Target="https://news.ycombinator.com/item?id=47107343" TargetMode="External"/><Relationship Id="rId29" Type="http://schemas.openxmlformats.org/officeDocument/2006/relationships/hyperlink" Target="https://news.ycombinator.com/item?id=46899540" TargetMode="External"/><Relationship Id="rId30" Type="http://schemas.openxmlformats.org/officeDocument/2006/relationships/hyperlink" Target="https://news.ycombinator.com/item?id=49741481" TargetMode="External"/><Relationship Id="rId31" Type="http://schemas.openxmlformats.org/officeDocument/2006/relationships/hyperlink" Target="https://news.ycombinator.com/item?id=46430143" TargetMode="External"/><Relationship Id="rId32" Type="http://schemas.openxmlformats.org/officeDocument/2006/relationships/hyperlink" Target="https://news.ycombinator.com/item?id=47139307" TargetMode="External"/><Relationship Id="rId33" Type="http://schemas.openxmlformats.org/officeDocument/2006/relationships/hyperlink" Target="https://news.ycombinator.com/item?id=45656208" TargetMode="External"/><Relationship Id="rId34" Type="http://schemas.openxmlformats.org/officeDocument/2006/relationships/hyperlink" Target="https://news.ycombinator.com/item?id=49635776" TargetMode="External"/><Relationship Id="rId35" Type="http://schemas.openxmlformats.org/officeDocument/2006/relationships/hyperlink" Target="https://news.ycombinator.com/item?id=46510489" TargetMode="External"/><Relationship Id="rId36" Type="http://schemas.openxmlformats.org/officeDocument/2006/relationships/hyperlink" Target="https://news.ycombinator.com/item?id=46197005" TargetMode="External"/><Relationship Id="rId37" Type="http://schemas.openxmlformats.org/officeDocument/2006/relationships/hyperlink" Target="https://news.ycombinator.com/item?id=46396889" TargetMode="External"/><Relationship Id="rId38" Type="http://schemas.openxmlformats.org/officeDocument/2006/relationships/hyperlink" Target="https://news.ycombinator.com/item?id=46976974" TargetMode="External"/><Relationship Id="rId39" Type="http://schemas.openxmlformats.org/officeDocument/2006/relationships/hyperlink" Target="https://news.ycombinator.com/item?id=48420827" TargetMode="External"/><Relationship Id="rId40" Type="http://schemas.openxmlformats.org/officeDocument/2006/relationships/hyperlink" Target="https://news.ycombinator.com/item?id=47958353" TargetMode="External"/><Relationship Id="rId41" Type="http://schemas.openxmlformats.org/officeDocument/2006/relationships/hyperlink" Target="https://news.ycombinator.com/item?id=46456400" TargetMode="External"/><Relationship Id="rId42" Type="http://schemas.openxmlformats.org/officeDocument/2006/relationships/hyperlink" Target="https://news.ycombinator.com/item?id=49078318" TargetMode="External"/><Relationship Id="rId43" Type="http://schemas.openxmlformats.org/officeDocument/2006/relationships/hyperlink" Target="https://news.ycombinator.com/item?id=46257486" TargetMode="External"/><Relationship Id="rId44" Type="http://schemas.openxmlformats.org/officeDocument/2006/relationships/hyperlink" Target="https://news.ycombinator.com/item?id=48410589" TargetMode="External"/><Relationship Id="rId45" Type="http://schemas.openxmlformats.org/officeDocument/2006/relationships/hyperlink" Target="https://news.ycombinator.com/item?id=48257711" TargetMode="External"/><Relationship Id="rId46" Type="http://schemas.openxmlformats.org/officeDocument/2006/relationships/hyperlink" Target="https://news.ycombinator.com/item?id=49447708" TargetMode="External"/><Relationship Id="rId47" Type="http://schemas.openxmlformats.org/officeDocument/2006/relationships/hyperlink" Target="https://news.ycombinator.com/item?id=46481814" TargetMode="External"/><Relationship Id="rId48" Type="http://schemas.openxmlformats.org/officeDocument/2006/relationships/hyperlink" Target="https://news.ycombinator.com/item?id=49037807" TargetMode="External"/><Relationship Id="rId49" Type="http://schemas.openxmlformats.org/officeDocument/2006/relationships/hyperlink" Target="https://news.ycombinator.com/item?id=48157980" TargetMode="External"/><Relationship Id="rId50" Type="http://schemas.openxmlformats.org/officeDocument/2006/relationships/hyperlink" Target="https://news.ycombinator.com/item?id=49385541" TargetMode="External"/><Relationship Id="rId51" Type="http://schemas.openxmlformats.org/officeDocument/2006/relationships/hyperlink" Target="https://news.ycombinator.com/item?id=46116193" TargetMode="External"/><Relationship Id="rId52" Type="http://schemas.openxmlformats.org/officeDocument/2006/relationships/hyperlink" Target="https://news.ycombinator.com/item?id=49692009" TargetMode="External"/><Relationship Id="rId53" Type="http://schemas.openxmlformats.org/officeDocument/2006/relationships/hyperlink" Target="https://news.ycombinator.com/item?id=48484306" TargetMode="External"/><Relationship Id="rId54" Type="http://schemas.openxmlformats.org/officeDocument/2006/relationships/hyperlink" Target="https://news.ycombinator.com/item?id=46620990" TargetMode="External"/><Relationship Id="rId55" Type="http://schemas.openxmlformats.org/officeDocument/2006/relationships/hyperlink" Target="https://news.ycombinator.com/item?id=46566103" TargetMode="External"/><Relationship Id="rId56" Type="http://schemas.openxmlformats.org/officeDocument/2006/relationships/hyperlink" Target="https://news.ycombinator.com/item?id=47676424" TargetMode="External"/><Relationship Id="rId57" Type="http://schemas.openxmlformats.org/officeDocument/2006/relationships/hyperlink" Target="https://news.ycombinator.com/item?id=46229700" TargetMode="External"/><Relationship Id="rId58" Type="http://schemas.openxmlformats.org/officeDocument/2006/relationships/hyperlink" Target="https://news.ycombinator.com/item?id=47104032" TargetMode="External"/><Relationship Id="rId59" Type="http://schemas.openxmlformats.org/officeDocument/2006/relationships/hyperlink" Target="https://news.ycombinator.com/item?id=48858598" TargetMode="External"/><Relationship Id="rId60" Type="http://schemas.openxmlformats.org/officeDocument/2006/relationships/hyperlink" Target="https://news.ycombinator.com/item?id=46403424" TargetMode="External"/><Relationship Id="rId61" Type="http://schemas.openxmlformats.org/officeDocument/2006/relationships/hyperlink" Target="https://news.ycombinator.com/item?id=46500565" TargetMode="External"/><Relationship Id="rId62" Type="http://schemas.openxmlformats.org/officeDocument/2006/relationships/hyperlink" Target="https://news.ycombinator.com/item?id=48485950" TargetMode="External"/><Relationship Id="rId63" Type="http://schemas.openxmlformats.org/officeDocument/2006/relationships/hyperlink" Target="https://news.ycombinator.com/item?id=46202423" TargetMode="External"/><Relationship Id="rId64" Type="http://schemas.openxmlformats.org/officeDocument/2006/relationships/hyperlink" Target="https://news.ycombinator.com/item?id=49261634" TargetMode="External"/><Relationship Id="rId65" Type="http://schemas.openxmlformats.org/officeDocument/2006/relationships/hyperlink" Target="https://news.ycombinator.com/item?id=48081266" TargetMode="External"/><Relationship Id="rId66" Type="http://schemas.openxmlformats.org/officeDocument/2006/relationships/hyperlink" Target="https://news.ycombinator.com/item?id=47971921" TargetMode="External"/><Relationship Id="rId67" Type="http://schemas.openxmlformats.org/officeDocument/2006/relationships/hyperlink" Target="https://news.ycombinator.com/item?id=470449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4"/>
  <sheetViews>
    <sheetView workbookViewId="0">
      <pane xSplit="3" ySplit="4" topLeftCell="D5" activePane="bottomRight" state="frozen"/>
      <selection pane="bottomRight"/>
    </sheetView>
  </sheetViews>
  <sheetFormatPr defaultRowHeight="15" outlineLevelRow="0" outlineLevelCol="0" x14ac:dyDescent="55"/>
  <cols>
    <col min="1" max="1" width="5" customWidth="1"/>
    <col min="2" max="2" width="13" customWidth="1"/>
    <col min="3" max="3" width="60" customWidth="1"/>
    <col min="4" max="6" width="7" customWidth="1"/>
    <col min="7" max="7" width="8" customWidth="1"/>
    <col min="9" max="10" width="8" customWidth="1"/>
    <col min="12" max="12" width="8" customWidth="1"/>
    <col min="13" max="13" width="11" customWidth="1"/>
    <col min="15" max="15" width="30" customWidth="1"/>
    <col min="16" max="16" width="10" customWidth="1"/>
    <col min="18" max="19" width="10" customWidth="1"/>
    <col min="20" max="21" width="11" customWidth="1"/>
    <col min="22" max="22" width="18" customWidth="1"/>
    <col min="23" max="25" width="11" customWidth="1"/>
    <col min="26" max="26" width="45" customWidth="1"/>
  </cols>
  <sheetData>
    <row r="1" spans="1:1" x14ac:dyDescent="0.25">
      <c r="A1" s="1" t="s">
        <v>0</v>
      </c>
    </row>
    <row r="2" ht="42" customHeight="1" spans="1:26" x14ac:dyDescent="0.2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3" t="s">
        <v>2</v>
      </c>
      <c r="B3" s="3"/>
      <c r="C3" s="3"/>
      <c r="D3" s="3"/>
      <c r="E3" s="3"/>
      <c r="F3" s="3"/>
      <c r="G3" s="3"/>
      <c r="H3" s="3"/>
      <c r="I3" s="3"/>
      <c r="J3" s="3"/>
      <c r="K3" s="3"/>
      <c r="L3" s="3"/>
      <c r="M3" s="3"/>
      <c r="N3" s="3"/>
      <c r="O3" s="3"/>
      <c r="P3" s="3"/>
      <c r="Q3" s="3"/>
      <c r="R3" s="3"/>
      <c r="S3" s="3"/>
      <c r="T3" s="3"/>
      <c r="U3" s="3"/>
      <c r="V3" s="3"/>
      <c r="W3" s="3"/>
      <c r="X3" s="3"/>
      <c r="Y3" s="3"/>
      <c r="Z3" s="3"/>
    </row>
    <row r="4" ht="30" customHeight="1" spans="1:26" x14ac:dyDescent="0.25">
      <c r="A4" s="4" t="s">
        <v>3</v>
      </c>
      <c r="B4" s="4" t="s">
        <v>4</v>
      </c>
      <c r="C4" s="4" t="s">
        <v>5</v>
      </c>
      <c r="D4" s="4" t="s">
        <v>6</v>
      </c>
      <c r="E4" s="4" t="s">
        <v>7</v>
      </c>
      <c r="F4" s="4" t="s">
        <v>8</v>
      </c>
      <c r="G4" s="4" t="s">
        <v>9</v>
      </c>
      <c r="H4" s="4" t="s">
        <v>10</v>
      </c>
      <c r="I4" s="4" t="s">
        <v>11</v>
      </c>
      <c r="J4" s="4" t="s">
        <v>12</v>
      </c>
      <c r="K4" s="4" t="s">
        <v>13</v>
      </c>
      <c r="L4" s="4" t="s">
        <v>14</v>
      </c>
      <c r="M4" s="4" t="s">
        <v>15</v>
      </c>
      <c r="N4" s="4" t="s">
        <v>16</v>
      </c>
      <c r="O4" s="4" t="s">
        <v>17</v>
      </c>
      <c r="P4" s="4" t="s">
        <v>18</v>
      </c>
      <c r="Q4" s="4" t="s">
        <v>19</v>
      </c>
      <c r="R4" s="4" t="s">
        <v>20</v>
      </c>
      <c r="S4" s="4" t="s">
        <v>21</v>
      </c>
      <c r="T4" s="4" t="s">
        <v>22</v>
      </c>
      <c r="U4" s="4" t="s">
        <v>23</v>
      </c>
      <c r="V4" s="4" t="s">
        <v>24</v>
      </c>
      <c r="W4" s="4" t="s">
        <v>25</v>
      </c>
      <c r="X4" s="4" t="s">
        <v>26</v>
      </c>
      <c r="Y4" s="4" t="s">
        <v>27</v>
      </c>
      <c r="Z4" s="4" t="s">
        <v>28</v>
      </c>
    </row>
    <row r="5" spans="1:26" x14ac:dyDescent="0.25">
      <c r="A5" s="5">
        <v>1</v>
      </c>
      <c r="B5" s="5" t="s">
        <v>29</v>
      </c>
      <c r="C5" s="6" t="s">
        <v>30</v>
      </c>
      <c r="D5" s="7" t="s">
        <v>31</v>
      </c>
      <c r="E5" s="5">
        <v>3</v>
      </c>
      <c r="F5" s="5">
        <v>3</v>
      </c>
      <c r="G5" s="5">
        <v>3</v>
      </c>
      <c r="H5" s="5">
        <v>3</v>
      </c>
      <c r="I5" s="5">
        <v>3</v>
      </c>
      <c r="J5" s="5">
        <v>2</v>
      </c>
      <c r="K5" s="5">
        <v>2</v>
      </c>
      <c r="L5" s="8">
        <f>SUM(F5:K5)</f>
      </c>
      <c r="M5" s="5">
        <f>IF(AND(T5="pass",U5="pass",V5="pass",W5="pass",COUNTIF(F5:K5,"unsupported")=0),"Shortlist","Review")</f>
      </c>
      <c r="N5" s="9"/>
      <c r="O5" s="10"/>
      <c r="P5" s="5">
        <f>(E5&lt;&gt;'Score reasons'!C2)+(F5&lt;&gt;'Score reasons'!F2)+(G5&lt;&gt;'Score reasons'!I2)+(H5&lt;&gt;'Score reasons'!L2)+(I5&lt;&gt;'Score reasons'!O2)+(J5&lt;&gt;'Score reasons'!R2)+(K5&lt;&gt;'Score reasons'!U2)</f>
      </c>
      <c r="Q5" s="11">
        <v>16</v>
      </c>
      <c r="R5" s="11">
        <v>11</v>
      </c>
      <c r="S5" s="11">
        <v>11</v>
      </c>
      <c r="T5" s="11" t="s">
        <v>32</v>
      </c>
      <c r="U5" s="11" t="s">
        <v>32</v>
      </c>
      <c r="V5" s="11" t="s">
        <v>32</v>
      </c>
      <c r="W5" s="11" t="s">
        <v>32</v>
      </c>
      <c r="X5" s="11" t="s">
        <v>33</v>
      </c>
      <c r="Y5" s="11">
        <v>64</v>
      </c>
      <c r="Z5" s="12" t="s">
        <v>34</v>
      </c>
    </row>
    <row r="6" spans="1:26" x14ac:dyDescent="0.25">
      <c r="A6" s="5">
        <v>2</v>
      </c>
      <c r="B6" s="5" t="s">
        <v>29</v>
      </c>
      <c r="C6" s="6" t="s">
        <v>35</v>
      </c>
      <c r="D6" s="7" t="s">
        <v>31</v>
      </c>
      <c r="E6" s="5">
        <v>2</v>
      </c>
      <c r="F6" s="5">
        <v>3</v>
      </c>
      <c r="G6" s="5">
        <v>2</v>
      </c>
      <c r="H6" s="5">
        <v>3</v>
      </c>
      <c r="I6" s="5">
        <v>2</v>
      </c>
      <c r="J6" s="5">
        <v>2</v>
      </c>
      <c r="K6" s="5">
        <v>2</v>
      </c>
      <c r="L6" s="8">
        <f>SUM(F6:K6)</f>
      </c>
      <c r="M6" s="5">
        <f>IF(AND(T6="pass",U6="pass",V6="pass",W6="pass",COUNTIF(F6:K6,"unsupported")=0),"Shortlist","Review")</f>
      </c>
      <c r="N6" s="9"/>
      <c r="O6" s="10"/>
      <c r="P6" s="5">
        <f>(E6&lt;&gt;'Score reasons'!C3)+(F6&lt;&gt;'Score reasons'!F3)+(G6&lt;&gt;'Score reasons'!I3)+(H6&lt;&gt;'Score reasons'!L3)+(I6&lt;&gt;'Score reasons'!O3)+(J6&lt;&gt;'Score reasons'!R3)+(K6&lt;&gt;'Score reasons'!U3)</f>
      </c>
      <c r="Q6" s="11">
        <v>14</v>
      </c>
      <c r="R6" s="11">
        <v>13</v>
      </c>
      <c r="S6" s="11">
        <v>7</v>
      </c>
      <c r="T6" s="11" t="s">
        <v>32</v>
      </c>
      <c r="U6" s="11" t="s">
        <v>32</v>
      </c>
      <c r="V6" s="11" t="s">
        <v>32</v>
      </c>
      <c r="W6" s="11" t="s">
        <v>32</v>
      </c>
      <c r="X6" s="11" t="s">
        <v>33</v>
      </c>
      <c r="Y6" s="11">
        <v>18</v>
      </c>
      <c r="Z6" s="12" t="s">
        <v>36</v>
      </c>
    </row>
    <row r="7" spans="1:26" x14ac:dyDescent="0.25">
      <c r="A7" s="5">
        <v>3</v>
      </c>
      <c r="B7" s="5" t="s">
        <v>29</v>
      </c>
      <c r="C7" s="6" t="s">
        <v>37</v>
      </c>
      <c r="D7" s="7" t="s">
        <v>31</v>
      </c>
      <c r="E7" s="5">
        <v>1</v>
      </c>
      <c r="F7" s="5">
        <v>2</v>
      </c>
      <c r="G7" s="5">
        <v>2</v>
      </c>
      <c r="H7" s="5">
        <v>2</v>
      </c>
      <c r="I7" s="5">
        <v>3</v>
      </c>
      <c r="J7" s="5">
        <v>2</v>
      </c>
      <c r="K7" s="5">
        <v>2</v>
      </c>
      <c r="L7" s="8">
        <f>SUM(F7:K7)</f>
      </c>
      <c r="M7" s="5">
        <f>IF(AND(T7="pass",U7="pass",V7="pass",W7="pass",COUNTIF(F7:K7,"unsupported")=0),"Shortlist","Review")</f>
      </c>
      <c r="N7" s="9"/>
      <c r="O7" s="10"/>
      <c r="P7" s="5">
        <f>(E7&lt;&gt;'Score reasons'!C4)+(F7&lt;&gt;'Score reasons'!F4)+(G7&lt;&gt;'Score reasons'!I4)+(H7&lt;&gt;'Score reasons'!L4)+(I7&lt;&gt;'Score reasons'!O4)+(J7&lt;&gt;'Score reasons'!R4)+(K7&lt;&gt;'Score reasons'!U4)</f>
      </c>
      <c r="Q7" s="11">
        <v>13</v>
      </c>
      <c r="R7" s="11">
        <v>10</v>
      </c>
      <c r="S7" s="11">
        <v>17</v>
      </c>
      <c r="T7" s="11" t="s">
        <v>32</v>
      </c>
      <c r="U7" s="11" t="s">
        <v>32</v>
      </c>
      <c r="V7" s="11" t="s">
        <v>32</v>
      </c>
      <c r="W7" s="11" t="s">
        <v>32</v>
      </c>
      <c r="X7" s="11" t="s">
        <v>33</v>
      </c>
      <c r="Y7" s="11">
        <v>5</v>
      </c>
      <c r="Z7" s="12" t="s">
        <v>38</v>
      </c>
    </row>
    <row r="8" spans="1:26" x14ac:dyDescent="0.25">
      <c r="A8" s="5">
        <v>4</v>
      </c>
      <c r="B8" s="5" t="s">
        <v>29</v>
      </c>
      <c r="C8" s="6" t="s">
        <v>39</v>
      </c>
      <c r="D8" s="7" t="s">
        <v>31</v>
      </c>
      <c r="E8" s="5">
        <v>2</v>
      </c>
      <c r="F8" s="5">
        <v>2</v>
      </c>
      <c r="G8" s="5">
        <v>2</v>
      </c>
      <c r="H8" s="5">
        <v>2</v>
      </c>
      <c r="I8" s="5">
        <v>2</v>
      </c>
      <c r="J8" s="5">
        <v>2</v>
      </c>
      <c r="K8" s="5">
        <v>2</v>
      </c>
      <c r="L8" s="8">
        <f>SUM(F8:K8)</f>
      </c>
      <c r="M8" s="5">
        <f>IF(AND(T8="pass",U8="pass",V8="pass",W8="pass",COUNTIF(F8:K8,"unsupported")=0),"Shortlist","Review")</f>
      </c>
      <c r="N8" s="9"/>
      <c r="O8" s="10"/>
      <c r="P8" s="5">
        <f>(E8&lt;&gt;'Score reasons'!C5)+(F8&lt;&gt;'Score reasons'!F5)+(G8&lt;&gt;'Score reasons'!I5)+(H8&lt;&gt;'Score reasons'!L5)+(I8&lt;&gt;'Score reasons'!O5)+(J8&lt;&gt;'Score reasons'!R5)+(K8&lt;&gt;'Score reasons'!U5)</f>
      </c>
      <c r="Q8" s="11">
        <v>12</v>
      </c>
      <c r="R8" s="11">
        <v>11</v>
      </c>
      <c r="S8" s="11">
        <v>12</v>
      </c>
      <c r="T8" s="11" t="s">
        <v>32</v>
      </c>
      <c r="U8" s="11" t="s">
        <v>32</v>
      </c>
      <c r="V8" s="11" t="s">
        <v>32</v>
      </c>
      <c r="W8" s="11" t="s">
        <v>32</v>
      </c>
      <c r="X8" s="11" t="s">
        <v>33</v>
      </c>
      <c r="Y8" s="11">
        <v>46</v>
      </c>
      <c r="Z8" s="12" t="s">
        <v>40</v>
      </c>
    </row>
    <row r="9" spans="1:26" x14ac:dyDescent="0.25">
      <c r="A9" s="5">
        <v>5</v>
      </c>
      <c r="B9" s="5" t="s">
        <v>29</v>
      </c>
      <c r="C9" s="6" t="s">
        <v>41</v>
      </c>
      <c r="D9" s="7" t="s">
        <v>31</v>
      </c>
      <c r="E9" s="5">
        <v>2</v>
      </c>
      <c r="F9" s="5">
        <v>3</v>
      </c>
      <c r="G9" s="5">
        <v>1</v>
      </c>
      <c r="H9" s="5">
        <v>1</v>
      </c>
      <c r="I9" s="5">
        <v>2</v>
      </c>
      <c r="J9" s="5">
        <v>2</v>
      </c>
      <c r="K9" s="5">
        <v>2</v>
      </c>
      <c r="L9" s="8">
        <f>SUM(F9:K9)</f>
      </c>
      <c r="M9" s="5">
        <f>IF(AND(T9="pass",U9="pass",V9="pass",W9="pass",COUNTIF(F9:K9,"unsupported")=0),"Shortlist","Review")</f>
      </c>
      <c r="N9" s="9"/>
      <c r="O9" s="10"/>
      <c r="P9" s="5">
        <f>(E9&lt;&gt;'Score reasons'!C6)+(F9&lt;&gt;'Score reasons'!F6)+(G9&lt;&gt;'Score reasons'!I6)+(H9&lt;&gt;'Score reasons'!L6)+(I9&lt;&gt;'Score reasons'!O6)+(J9&lt;&gt;'Score reasons'!R6)+(K9&lt;&gt;'Score reasons'!U6)</f>
      </c>
      <c r="Q9" s="11">
        <v>11</v>
      </c>
      <c r="R9" s="11">
        <v>12</v>
      </c>
      <c r="S9" s="11">
        <v>9</v>
      </c>
      <c r="T9" s="11" t="s">
        <v>32</v>
      </c>
      <c r="U9" s="11" t="s">
        <v>32</v>
      </c>
      <c r="V9" s="11" t="s">
        <v>32</v>
      </c>
      <c r="W9" s="11" t="s">
        <v>32</v>
      </c>
      <c r="X9" s="11" t="s">
        <v>33</v>
      </c>
      <c r="Y9" s="11">
        <v>19</v>
      </c>
      <c r="Z9" s="12" t="s">
        <v>42</v>
      </c>
    </row>
    <row r="10" spans="1:26" x14ac:dyDescent="0.25">
      <c r="A10" s="5">
        <v>6</v>
      </c>
      <c r="B10" s="5" t="s">
        <v>29</v>
      </c>
      <c r="C10" s="6" t="s">
        <v>43</v>
      </c>
      <c r="D10" s="7" t="s">
        <v>31</v>
      </c>
      <c r="E10" s="5">
        <v>2</v>
      </c>
      <c r="F10" s="5">
        <v>3</v>
      </c>
      <c r="G10" s="5">
        <v>1</v>
      </c>
      <c r="H10" s="5">
        <v>1</v>
      </c>
      <c r="I10" s="5">
        <v>2</v>
      </c>
      <c r="J10" s="5">
        <v>1</v>
      </c>
      <c r="K10" s="5">
        <v>3</v>
      </c>
      <c r="L10" s="8">
        <f>SUM(F10:K10)</f>
      </c>
      <c r="M10" s="5">
        <f>IF(AND(T10="pass",U10="pass",V10="pass",W10="pass",COUNTIF(F10:K10,"unsupported")=0),"Shortlist","Review")</f>
      </c>
      <c r="N10" s="9"/>
      <c r="O10" s="10"/>
      <c r="P10" s="5">
        <f>(E10&lt;&gt;'Score reasons'!C7)+(F10&lt;&gt;'Score reasons'!F7)+(G10&lt;&gt;'Score reasons'!I7)+(H10&lt;&gt;'Score reasons'!L7)+(I10&lt;&gt;'Score reasons'!O7)+(J10&lt;&gt;'Score reasons'!R7)+(K10&lt;&gt;'Score reasons'!U7)</f>
      </c>
      <c r="Q10" s="11">
        <v>11</v>
      </c>
      <c r="R10" s="11">
        <v>12</v>
      </c>
      <c r="S10" s="11">
        <v>10</v>
      </c>
      <c r="T10" s="11" t="s">
        <v>32</v>
      </c>
      <c r="U10" s="11" t="s">
        <v>32</v>
      </c>
      <c r="V10" s="11" t="s">
        <v>32</v>
      </c>
      <c r="W10" s="11" t="s">
        <v>32</v>
      </c>
      <c r="X10" s="11" t="s">
        <v>33</v>
      </c>
      <c r="Y10" s="11">
        <v>35</v>
      </c>
      <c r="Z10" s="12" t="s">
        <v>44</v>
      </c>
    </row>
    <row r="11" spans="1:26" x14ac:dyDescent="0.25">
      <c r="A11" s="5">
        <v>7</v>
      </c>
      <c r="B11" s="5" t="s">
        <v>29</v>
      </c>
      <c r="C11" s="6" t="s">
        <v>45</v>
      </c>
      <c r="D11" s="7" t="s">
        <v>31</v>
      </c>
      <c r="E11" s="5">
        <v>1</v>
      </c>
      <c r="F11" s="5">
        <v>1</v>
      </c>
      <c r="G11" s="5">
        <v>1</v>
      </c>
      <c r="H11" s="5">
        <v>2</v>
      </c>
      <c r="I11" s="5">
        <v>2</v>
      </c>
      <c r="J11" s="5">
        <v>1</v>
      </c>
      <c r="K11" s="5">
        <v>2</v>
      </c>
      <c r="L11" s="8">
        <f>SUM(F11:K11)</f>
      </c>
      <c r="M11" s="5">
        <f>IF(AND(T11="pass",U11="pass",V11="pass",W11="pass",COUNTIF(F11:K11,"unsupported")=0),"Shortlist","Review")</f>
      </c>
      <c r="N11" s="9"/>
      <c r="O11" s="10"/>
      <c r="P11" s="5">
        <f>(E11&lt;&gt;'Score reasons'!C8)+(F11&lt;&gt;'Score reasons'!F8)+(G11&lt;&gt;'Score reasons'!I8)+(H11&lt;&gt;'Score reasons'!L8)+(I11&lt;&gt;'Score reasons'!O8)+(J11&lt;&gt;'Score reasons'!R8)+(K11&lt;&gt;'Score reasons'!U8)</f>
      </c>
      <c r="Q11" s="11">
        <v>9</v>
      </c>
      <c r="R11" s="11">
        <v>10</v>
      </c>
      <c r="S11" s="11">
        <v>18</v>
      </c>
      <c r="T11" s="11" t="s">
        <v>32</v>
      </c>
      <c r="U11" s="11" t="s">
        <v>32</v>
      </c>
      <c r="V11" s="11" t="s">
        <v>32</v>
      </c>
      <c r="W11" s="11" t="s">
        <v>32</v>
      </c>
      <c r="X11" s="11" t="s">
        <v>33</v>
      </c>
      <c r="Y11" s="11">
        <v>2</v>
      </c>
      <c r="Z11" s="12" t="s">
        <v>46</v>
      </c>
    </row>
    <row r="12" spans="1:26" x14ac:dyDescent="0.25">
      <c r="A12" s="5">
        <v>8</v>
      </c>
      <c r="B12" s="5" t="s">
        <v>29</v>
      </c>
      <c r="C12" s="6" t="s">
        <v>47</v>
      </c>
      <c r="D12" s="7" t="s">
        <v>31</v>
      </c>
      <c r="E12" s="5">
        <v>1</v>
      </c>
      <c r="F12" s="5">
        <v>1</v>
      </c>
      <c r="G12" s="5">
        <v>2</v>
      </c>
      <c r="H12" s="5">
        <v>3</v>
      </c>
      <c r="I12" s="5">
        <v>3</v>
      </c>
      <c r="J12" s="5">
        <v>3</v>
      </c>
      <c r="K12" s="5">
        <v>2</v>
      </c>
      <c r="L12" s="8">
        <f>SUM(F12:K12)</f>
      </c>
      <c r="M12" s="5">
        <f>IF(AND(T12="pass",U12="pass",V12="pass",W12="pass",COUNTIF(F12:K12,"unsupported")=0),"Shortlist","Review")</f>
      </c>
      <c r="N12" s="9"/>
      <c r="O12" s="10"/>
      <c r="P12" s="5">
        <f>(E12&lt;&gt;'Score reasons'!C9)+(F12&lt;&gt;'Score reasons'!F9)+(G12&lt;&gt;'Score reasons'!I9)+(H12&lt;&gt;'Score reasons'!L9)+(I12&lt;&gt;'Score reasons'!O9)+(J12&lt;&gt;'Score reasons'!R9)+(K12&lt;&gt;'Score reasons'!U9)</f>
      </c>
      <c r="Q12" s="11">
        <v>14</v>
      </c>
      <c r="R12" s="11">
        <v>13</v>
      </c>
      <c r="S12" s="11">
        <v>8</v>
      </c>
      <c r="T12" s="11" t="s">
        <v>48</v>
      </c>
      <c r="U12" s="11" t="s">
        <v>48</v>
      </c>
      <c r="V12" s="11" t="s">
        <v>48</v>
      </c>
      <c r="W12" s="11" t="s">
        <v>48</v>
      </c>
      <c r="X12" s="11" t="s">
        <v>49</v>
      </c>
      <c r="Y12" s="11">
        <v>1</v>
      </c>
      <c r="Z12" s="12" t="s">
        <v>50</v>
      </c>
    </row>
    <row r="13" spans="1:26" x14ac:dyDescent="0.25">
      <c r="A13" s="5">
        <v>9</v>
      </c>
      <c r="B13" s="5" t="s">
        <v>29</v>
      </c>
      <c r="C13" s="6" t="s">
        <v>51</v>
      </c>
      <c r="D13" s="7" t="s">
        <v>31</v>
      </c>
      <c r="E13" s="5">
        <v>1</v>
      </c>
      <c r="F13" s="5">
        <v>1</v>
      </c>
      <c r="G13" s="5">
        <v>2</v>
      </c>
      <c r="H13" s="5">
        <v>3</v>
      </c>
      <c r="I13" s="5">
        <v>3</v>
      </c>
      <c r="J13" s="5">
        <v>1</v>
      </c>
      <c r="K13" s="5">
        <v>2</v>
      </c>
      <c r="L13" s="8">
        <f>SUM(F13:K13)</f>
      </c>
      <c r="M13" s="5">
        <f>IF(AND(T13="pass",U13="pass",V13="pass",W13="pass",COUNTIF(F13:K13,"unsupported")=0),"Shortlist","Review")</f>
      </c>
      <c r="N13" s="9"/>
      <c r="O13" s="10"/>
      <c r="P13" s="5">
        <f>(E13&lt;&gt;'Score reasons'!C10)+(F13&lt;&gt;'Score reasons'!F10)+(G13&lt;&gt;'Score reasons'!I10)+(H13&lt;&gt;'Score reasons'!L10)+(I13&lt;&gt;'Score reasons'!O10)+(J13&lt;&gt;'Score reasons'!R10)+(K13&lt;&gt;'Score reasons'!U10)</f>
      </c>
      <c r="Q13" s="11">
        <v>12</v>
      </c>
      <c r="R13" s="11">
        <v>11</v>
      </c>
      <c r="S13" s="11">
        <v>13</v>
      </c>
      <c r="T13" s="11" t="s">
        <v>48</v>
      </c>
      <c r="U13" s="11" t="s">
        <v>32</v>
      </c>
      <c r="V13" s="11" t="s">
        <v>32</v>
      </c>
      <c r="W13" s="11" t="s">
        <v>48</v>
      </c>
      <c r="X13" s="11" t="s">
        <v>52</v>
      </c>
      <c r="Y13" s="11">
        <v>0</v>
      </c>
      <c r="Z13" s="12" t="s">
        <v>53</v>
      </c>
    </row>
    <row r="14" spans="1:26" x14ac:dyDescent="0.25">
      <c r="A14" s="5">
        <v>10</v>
      </c>
      <c r="B14" s="5" t="s">
        <v>29</v>
      </c>
      <c r="C14" s="6" t="s">
        <v>54</v>
      </c>
      <c r="D14" s="7" t="s">
        <v>31</v>
      </c>
      <c r="E14" s="5">
        <v>1</v>
      </c>
      <c r="F14" s="5">
        <v>1</v>
      </c>
      <c r="G14" s="5">
        <v>2</v>
      </c>
      <c r="H14" s="5">
        <v>2</v>
      </c>
      <c r="I14" s="5">
        <v>2</v>
      </c>
      <c r="J14" s="5">
        <v>2</v>
      </c>
      <c r="K14" s="5">
        <v>3</v>
      </c>
      <c r="L14" s="8">
        <f>SUM(F14:K14)</f>
      </c>
      <c r="M14" s="5">
        <f>IF(AND(T14="pass",U14="pass",V14="pass",W14="pass",COUNTIF(F14:K14,"unsupported")=0),"Shortlist","Review")</f>
      </c>
      <c r="N14" s="9"/>
      <c r="O14" s="10"/>
      <c r="P14" s="5">
        <f>(E14&lt;&gt;'Score reasons'!C11)+(F14&lt;&gt;'Score reasons'!F11)+(G14&lt;&gt;'Score reasons'!I11)+(H14&lt;&gt;'Score reasons'!L11)+(I14&lt;&gt;'Score reasons'!O11)+(J14&lt;&gt;'Score reasons'!R11)+(K14&lt;&gt;'Score reasons'!U11)</f>
      </c>
      <c r="Q14" s="11">
        <v>12</v>
      </c>
      <c r="R14" s="11">
        <v>10</v>
      </c>
      <c r="S14" s="11">
        <v>19</v>
      </c>
      <c r="T14" s="11" t="s">
        <v>48</v>
      </c>
      <c r="U14" s="11" t="s">
        <v>32</v>
      </c>
      <c r="V14" s="11" t="s">
        <v>32</v>
      </c>
      <c r="W14" s="11" t="s">
        <v>32</v>
      </c>
      <c r="X14" s="11" t="s">
        <v>55</v>
      </c>
      <c r="Y14" s="11">
        <v>0</v>
      </c>
      <c r="Z14" s="12" t="s">
        <v>56</v>
      </c>
    </row>
    <row r="15" spans="1:26" x14ac:dyDescent="0.25">
      <c r="A15" s="5">
        <v>11</v>
      </c>
      <c r="B15" s="5" t="s">
        <v>29</v>
      </c>
      <c r="C15" s="6" t="s">
        <v>57</v>
      </c>
      <c r="D15" s="7" t="s">
        <v>31</v>
      </c>
      <c r="E15" s="5">
        <v>1</v>
      </c>
      <c r="F15" s="5">
        <v>1</v>
      </c>
      <c r="G15" s="5">
        <v>3</v>
      </c>
      <c r="H15" s="5">
        <v>2</v>
      </c>
      <c r="I15" s="5">
        <v>3</v>
      </c>
      <c r="J15" s="5">
        <v>1</v>
      </c>
      <c r="K15" s="5">
        <v>2</v>
      </c>
      <c r="L15" s="8">
        <f>SUM(F15:K15)</f>
      </c>
      <c r="M15" s="5">
        <f>IF(AND(T15="pass",U15="pass",V15="pass",W15="pass",COUNTIF(F15:K15,"unsupported")=0),"Shortlist","Review")</f>
      </c>
      <c r="N15" s="9"/>
      <c r="O15" s="10"/>
      <c r="P15" s="5">
        <f>(E15&lt;&gt;'Score reasons'!C12)+(F15&lt;&gt;'Score reasons'!F12)+(G15&lt;&gt;'Score reasons'!I12)+(H15&lt;&gt;'Score reasons'!L12)+(I15&lt;&gt;'Score reasons'!O12)+(J15&lt;&gt;'Score reasons'!R12)+(K15&lt;&gt;'Score reasons'!U12)</f>
      </c>
      <c r="Q15" s="11">
        <v>12</v>
      </c>
      <c r="R15" s="11">
        <v>10</v>
      </c>
      <c r="S15" s="11">
        <v>20</v>
      </c>
      <c r="T15" s="11" t="s">
        <v>48</v>
      </c>
      <c r="U15" s="11" t="s">
        <v>48</v>
      </c>
      <c r="V15" s="11" t="s">
        <v>32</v>
      </c>
      <c r="W15" s="11" t="s">
        <v>48</v>
      </c>
      <c r="X15" s="11" t="s">
        <v>58</v>
      </c>
      <c r="Y15" s="11">
        <v>1</v>
      </c>
      <c r="Z15" s="12" t="s">
        <v>59</v>
      </c>
    </row>
    <row r="16" spans="1:26" x14ac:dyDescent="0.25">
      <c r="A16" s="5">
        <v>12</v>
      </c>
      <c r="B16" s="5" t="s">
        <v>29</v>
      </c>
      <c r="C16" s="6" t="s">
        <v>60</v>
      </c>
      <c r="D16" s="7" t="s">
        <v>31</v>
      </c>
      <c r="E16" s="5">
        <v>1</v>
      </c>
      <c r="F16" s="5">
        <v>1</v>
      </c>
      <c r="G16" s="5">
        <v>1</v>
      </c>
      <c r="H16" s="5">
        <v>1</v>
      </c>
      <c r="I16" s="5">
        <v>2</v>
      </c>
      <c r="J16" s="5">
        <v>1</v>
      </c>
      <c r="K16" s="5">
        <v>2</v>
      </c>
      <c r="L16" s="8">
        <f>SUM(F16:K16)</f>
      </c>
      <c r="M16" s="5">
        <f>IF(AND(T16="pass",U16="pass",V16="pass",W16="pass",COUNTIF(F16:K16,"unsupported")=0),"Shortlist","Review")</f>
      </c>
      <c r="N16" s="9"/>
      <c r="O16" s="10"/>
      <c r="P16" s="5">
        <f>(E16&lt;&gt;'Score reasons'!C13)+(F16&lt;&gt;'Score reasons'!F13)+(G16&lt;&gt;'Score reasons'!I13)+(H16&lt;&gt;'Score reasons'!L13)+(I16&lt;&gt;'Score reasons'!O13)+(J16&lt;&gt;'Score reasons'!R13)+(K16&lt;&gt;'Score reasons'!U13)</f>
      </c>
      <c r="Q16" s="11">
        <v>8</v>
      </c>
      <c r="R16" s="11">
        <v>11</v>
      </c>
      <c r="S16" s="11">
        <v>14</v>
      </c>
      <c r="T16" s="11" t="s">
        <v>48</v>
      </c>
      <c r="U16" s="11" t="s">
        <v>48</v>
      </c>
      <c r="V16" s="11" t="s">
        <v>48</v>
      </c>
      <c r="W16" s="11" t="s">
        <v>48</v>
      </c>
      <c r="X16" s="11" t="s">
        <v>49</v>
      </c>
      <c r="Y16" s="11">
        <v>0</v>
      </c>
      <c r="Z16" s="12" t="s">
        <v>61</v>
      </c>
    </row>
    <row r="17" spans="1:26" x14ac:dyDescent="0.25">
      <c r="A17" s="5">
        <v>13</v>
      </c>
      <c r="B17" s="5" t="s">
        <v>62</v>
      </c>
      <c r="C17" s="6" t="s">
        <v>63</v>
      </c>
      <c r="D17" s="7" t="s">
        <v>31</v>
      </c>
      <c r="E17" s="5">
        <v>3</v>
      </c>
      <c r="F17" s="5">
        <v>3</v>
      </c>
      <c r="G17" s="5">
        <v>1</v>
      </c>
      <c r="H17" s="5">
        <v>3</v>
      </c>
      <c r="I17" s="5">
        <v>1</v>
      </c>
      <c r="J17" s="5" t="s">
        <v>64</v>
      </c>
      <c r="K17" s="5">
        <v>3</v>
      </c>
      <c r="L17" s="8">
        <f>SUM(E17:I17)+K17</f>
      </c>
      <c r="M17" s="5">
        <f>IF(L17&gt;=15,"Shortlist",IF(L17&lt;10,"Drop","Middle"))</f>
      </c>
      <c r="N17" s="9"/>
      <c r="O17" s="10"/>
      <c r="P17" s="5">
        <f>(E17&lt;&gt;'Score reasons'!C14)+(F17&lt;&gt;'Score reasons'!F14)+(G17&lt;&gt;'Score reasons'!I14)+(H17&lt;&gt;'Score reasons'!L14)+(I17&lt;&gt;'Score reasons'!O14)+(J17&lt;&gt;'Score reasons'!R14)+(K17&lt;&gt;'Score reasons'!U14)</f>
      </c>
      <c r="Q17" s="11">
        <v>14</v>
      </c>
      <c r="R17" s="11">
        <v>14</v>
      </c>
      <c r="S17" s="11">
        <v>1</v>
      </c>
      <c r="T17" s="11" t="s">
        <v>65</v>
      </c>
      <c r="U17" s="11" t="s">
        <v>65</v>
      </c>
      <c r="V17" s="11" t="s">
        <v>65</v>
      </c>
      <c r="W17" s="11" t="s">
        <v>65</v>
      </c>
      <c r="X17" s="11" t="s">
        <v>65</v>
      </c>
      <c r="Y17" s="11" t="s">
        <v>65</v>
      </c>
      <c r="Z17" s="12" t="s">
        <v>63</v>
      </c>
    </row>
    <row r="18" spans="1:26" x14ac:dyDescent="0.25">
      <c r="A18" s="5">
        <v>14</v>
      </c>
      <c r="B18" s="5" t="s">
        <v>62</v>
      </c>
      <c r="C18" s="6" t="s">
        <v>66</v>
      </c>
      <c r="D18" s="7" t="s">
        <v>31</v>
      </c>
      <c r="E18" s="5">
        <v>3</v>
      </c>
      <c r="F18" s="5">
        <v>3</v>
      </c>
      <c r="G18" s="5">
        <v>1</v>
      </c>
      <c r="H18" s="5">
        <v>3</v>
      </c>
      <c r="I18" s="5">
        <v>1</v>
      </c>
      <c r="J18" s="5" t="s">
        <v>64</v>
      </c>
      <c r="K18" s="5">
        <v>3</v>
      </c>
      <c r="L18" s="8">
        <f>SUM(E18:I18)+K18</f>
      </c>
      <c r="M18" s="5">
        <f>IF(L18&gt;=15,"Shortlist",IF(L18&lt;10,"Drop","Middle"))</f>
      </c>
      <c r="N18" s="9"/>
      <c r="O18" s="10"/>
      <c r="P18" s="5">
        <f>(E18&lt;&gt;'Score reasons'!C15)+(F18&lt;&gt;'Score reasons'!F15)+(G18&lt;&gt;'Score reasons'!I15)+(H18&lt;&gt;'Score reasons'!L15)+(I18&lt;&gt;'Score reasons'!O15)+(J18&lt;&gt;'Score reasons'!R15)+(K18&lt;&gt;'Score reasons'!U15)</f>
      </c>
      <c r="Q18" s="11">
        <v>14</v>
      </c>
      <c r="R18" s="11">
        <v>14</v>
      </c>
      <c r="S18" s="11">
        <v>2</v>
      </c>
      <c r="T18" s="11" t="s">
        <v>65</v>
      </c>
      <c r="U18" s="11" t="s">
        <v>65</v>
      </c>
      <c r="V18" s="11" t="s">
        <v>65</v>
      </c>
      <c r="W18" s="11" t="s">
        <v>65</v>
      </c>
      <c r="X18" s="11" t="s">
        <v>65</v>
      </c>
      <c r="Y18" s="11" t="s">
        <v>65</v>
      </c>
      <c r="Z18" s="12" t="s">
        <v>66</v>
      </c>
    </row>
    <row r="19" spans="1:26" x14ac:dyDescent="0.25">
      <c r="A19" s="5">
        <v>15</v>
      </c>
      <c r="B19" s="5" t="s">
        <v>62</v>
      </c>
      <c r="C19" s="6" t="s">
        <v>67</v>
      </c>
      <c r="D19" s="7" t="s">
        <v>31</v>
      </c>
      <c r="E19" s="5">
        <v>3</v>
      </c>
      <c r="F19" s="5">
        <v>3</v>
      </c>
      <c r="G19" s="5">
        <v>1</v>
      </c>
      <c r="H19" s="5">
        <v>3</v>
      </c>
      <c r="I19" s="5">
        <v>1</v>
      </c>
      <c r="J19" s="5" t="s">
        <v>64</v>
      </c>
      <c r="K19" s="5">
        <v>3</v>
      </c>
      <c r="L19" s="8">
        <f>SUM(E19:I19)+K19</f>
      </c>
      <c r="M19" s="5">
        <f>IF(L19&gt;=15,"Shortlist",IF(L19&lt;10,"Drop","Middle"))</f>
      </c>
      <c r="N19" s="9"/>
      <c r="O19" s="10"/>
      <c r="P19" s="5">
        <f>(E19&lt;&gt;'Score reasons'!C16)+(F19&lt;&gt;'Score reasons'!F16)+(G19&lt;&gt;'Score reasons'!I16)+(H19&lt;&gt;'Score reasons'!L16)+(I19&lt;&gt;'Score reasons'!O16)+(J19&lt;&gt;'Score reasons'!R16)+(K19&lt;&gt;'Score reasons'!U16)</f>
      </c>
      <c r="Q19" s="11">
        <v>14</v>
      </c>
      <c r="R19" s="11">
        <v>14</v>
      </c>
      <c r="S19" s="11">
        <v>3</v>
      </c>
      <c r="T19" s="11" t="s">
        <v>65</v>
      </c>
      <c r="U19" s="11" t="s">
        <v>65</v>
      </c>
      <c r="V19" s="11" t="s">
        <v>65</v>
      </c>
      <c r="W19" s="11" t="s">
        <v>65</v>
      </c>
      <c r="X19" s="11" t="s">
        <v>65</v>
      </c>
      <c r="Y19" s="11" t="s">
        <v>65</v>
      </c>
      <c r="Z19" s="12" t="s">
        <v>67</v>
      </c>
    </row>
    <row r="20" spans="1:26" x14ac:dyDescent="0.25">
      <c r="A20" s="5">
        <v>16</v>
      </c>
      <c r="B20" s="5" t="s">
        <v>62</v>
      </c>
      <c r="C20" s="6" t="s">
        <v>68</v>
      </c>
      <c r="D20" s="7" t="s">
        <v>31</v>
      </c>
      <c r="E20" s="5">
        <v>3</v>
      </c>
      <c r="F20" s="5">
        <v>3</v>
      </c>
      <c r="G20" s="5">
        <v>1</v>
      </c>
      <c r="H20" s="5">
        <v>3</v>
      </c>
      <c r="I20" s="5">
        <v>1</v>
      </c>
      <c r="J20" s="5" t="s">
        <v>64</v>
      </c>
      <c r="K20" s="5">
        <v>3</v>
      </c>
      <c r="L20" s="8">
        <f>SUM(E20:I20)+K20</f>
      </c>
      <c r="M20" s="5">
        <f>IF(L20&gt;=15,"Shortlist",IF(L20&lt;10,"Drop","Middle"))</f>
      </c>
      <c r="N20" s="9"/>
      <c r="O20" s="10"/>
      <c r="P20" s="5">
        <f>(E20&lt;&gt;'Score reasons'!C17)+(F20&lt;&gt;'Score reasons'!F17)+(G20&lt;&gt;'Score reasons'!I17)+(H20&lt;&gt;'Score reasons'!L17)+(I20&lt;&gt;'Score reasons'!O17)+(J20&lt;&gt;'Score reasons'!R17)+(K20&lt;&gt;'Score reasons'!U17)</f>
      </c>
      <c r="Q20" s="11">
        <v>14</v>
      </c>
      <c r="R20" s="11">
        <v>14</v>
      </c>
      <c r="S20" s="11">
        <v>4</v>
      </c>
      <c r="T20" s="11" t="s">
        <v>65</v>
      </c>
      <c r="U20" s="11" t="s">
        <v>65</v>
      </c>
      <c r="V20" s="11" t="s">
        <v>65</v>
      </c>
      <c r="W20" s="11" t="s">
        <v>65</v>
      </c>
      <c r="X20" s="11" t="s">
        <v>65</v>
      </c>
      <c r="Y20" s="11" t="s">
        <v>65</v>
      </c>
      <c r="Z20" s="12" t="s">
        <v>68</v>
      </c>
    </row>
    <row r="21" spans="1:26" x14ac:dyDescent="0.25">
      <c r="A21" s="5">
        <v>17</v>
      </c>
      <c r="B21" s="5" t="s">
        <v>62</v>
      </c>
      <c r="C21" s="6" t="s">
        <v>69</v>
      </c>
      <c r="D21" s="7" t="s">
        <v>31</v>
      </c>
      <c r="E21" s="5">
        <v>3</v>
      </c>
      <c r="F21" s="5">
        <v>3</v>
      </c>
      <c r="G21" s="5">
        <v>1</v>
      </c>
      <c r="H21" s="5">
        <v>3</v>
      </c>
      <c r="I21" s="5">
        <v>1</v>
      </c>
      <c r="J21" s="5" t="s">
        <v>64</v>
      </c>
      <c r="K21" s="5">
        <v>3</v>
      </c>
      <c r="L21" s="8">
        <f>SUM(E21:I21)+K21</f>
      </c>
      <c r="M21" s="5">
        <f>IF(L21&gt;=15,"Shortlist",IF(L21&lt;10,"Drop","Middle"))</f>
      </c>
      <c r="N21" s="9"/>
      <c r="O21" s="10"/>
      <c r="P21" s="5">
        <f>(E21&lt;&gt;'Score reasons'!C18)+(F21&lt;&gt;'Score reasons'!F18)+(G21&lt;&gt;'Score reasons'!I18)+(H21&lt;&gt;'Score reasons'!L18)+(I21&lt;&gt;'Score reasons'!O18)+(J21&lt;&gt;'Score reasons'!R18)+(K21&lt;&gt;'Score reasons'!U18)</f>
      </c>
      <c r="Q21" s="11">
        <v>14</v>
      </c>
      <c r="R21" s="11">
        <v>14</v>
      </c>
      <c r="S21" s="11">
        <v>5</v>
      </c>
      <c r="T21" s="11" t="s">
        <v>65</v>
      </c>
      <c r="U21" s="11" t="s">
        <v>65</v>
      </c>
      <c r="V21" s="11" t="s">
        <v>65</v>
      </c>
      <c r="W21" s="11" t="s">
        <v>65</v>
      </c>
      <c r="X21" s="11" t="s">
        <v>65</v>
      </c>
      <c r="Y21" s="11" t="s">
        <v>65</v>
      </c>
      <c r="Z21" s="12" t="s">
        <v>69</v>
      </c>
    </row>
    <row r="22" spans="1:26" x14ac:dyDescent="0.25">
      <c r="A22" s="5">
        <v>18</v>
      </c>
      <c r="B22" s="5" t="s">
        <v>62</v>
      </c>
      <c r="C22" s="6" t="s">
        <v>70</v>
      </c>
      <c r="D22" s="7" t="s">
        <v>31</v>
      </c>
      <c r="E22" s="5">
        <v>3</v>
      </c>
      <c r="F22" s="5">
        <v>3</v>
      </c>
      <c r="G22" s="5">
        <v>1</v>
      </c>
      <c r="H22" s="5">
        <v>3</v>
      </c>
      <c r="I22" s="5">
        <v>1</v>
      </c>
      <c r="J22" s="5" t="s">
        <v>64</v>
      </c>
      <c r="K22" s="5">
        <v>3</v>
      </c>
      <c r="L22" s="8">
        <f>SUM(E22:I22)+K22</f>
      </c>
      <c r="M22" s="5">
        <f>IF(L22&gt;=15,"Shortlist",IF(L22&lt;10,"Drop","Middle"))</f>
      </c>
      <c r="N22" s="9"/>
      <c r="O22" s="10"/>
      <c r="P22" s="5">
        <f>(E22&lt;&gt;'Score reasons'!C19)+(F22&lt;&gt;'Score reasons'!F19)+(G22&lt;&gt;'Score reasons'!I19)+(H22&lt;&gt;'Score reasons'!L19)+(I22&lt;&gt;'Score reasons'!O19)+(J22&lt;&gt;'Score reasons'!R19)+(K22&lt;&gt;'Score reasons'!U19)</f>
      </c>
      <c r="Q22" s="11">
        <v>14</v>
      </c>
      <c r="R22" s="11">
        <v>14</v>
      </c>
      <c r="S22" s="11">
        <v>6</v>
      </c>
      <c r="T22" s="11" t="s">
        <v>65</v>
      </c>
      <c r="U22" s="11" t="s">
        <v>65</v>
      </c>
      <c r="V22" s="11" t="s">
        <v>65</v>
      </c>
      <c r="W22" s="11" t="s">
        <v>65</v>
      </c>
      <c r="X22" s="11" t="s">
        <v>65</v>
      </c>
      <c r="Y22" s="11" t="s">
        <v>65</v>
      </c>
      <c r="Z22" s="12" t="s">
        <v>70</v>
      </c>
    </row>
    <row r="23" spans="1:26" x14ac:dyDescent="0.25">
      <c r="A23" s="5">
        <v>19</v>
      </c>
      <c r="B23" s="5" t="s">
        <v>62</v>
      </c>
      <c r="C23" s="6" t="s">
        <v>71</v>
      </c>
      <c r="D23" s="7" t="s">
        <v>31</v>
      </c>
      <c r="E23" s="5">
        <v>1</v>
      </c>
      <c r="F23" s="5">
        <v>2</v>
      </c>
      <c r="G23" s="5">
        <v>1</v>
      </c>
      <c r="H23" s="5">
        <v>3</v>
      </c>
      <c r="I23" s="5">
        <v>1</v>
      </c>
      <c r="J23" s="5" t="s">
        <v>64</v>
      </c>
      <c r="K23" s="5">
        <v>3</v>
      </c>
      <c r="L23" s="8">
        <f>SUM(E23:I23)+K23</f>
      </c>
      <c r="M23" s="5">
        <f>IF(L23&gt;=15,"Shortlist",IF(L23&lt;10,"Drop","Middle"))</f>
      </c>
      <c r="N23" s="9"/>
      <c r="O23" s="10"/>
      <c r="P23" s="5">
        <f>(E23&lt;&gt;'Score reasons'!C20)+(F23&lt;&gt;'Score reasons'!F20)+(G23&lt;&gt;'Score reasons'!I20)+(H23&lt;&gt;'Score reasons'!L20)+(I23&lt;&gt;'Score reasons'!O20)+(J23&lt;&gt;'Score reasons'!R20)+(K23&lt;&gt;'Score reasons'!U20)</f>
      </c>
      <c r="Q23" s="11">
        <v>11</v>
      </c>
      <c r="R23" s="11">
        <v>11</v>
      </c>
      <c r="S23" s="11">
        <v>15</v>
      </c>
      <c r="T23" s="11" t="s">
        <v>65</v>
      </c>
      <c r="U23" s="11" t="s">
        <v>65</v>
      </c>
      <c r="V23" s="11" t="s">
        <v>65</v>
      </c>
      <c r="W23" s="11" t="s">
        <v>65</v>
      </c>
      <c r="X23" s="11" t="s">
        <v>65</v>
      </c>
      <c r="Y23" s="11" t="s">
        <v>65</v>
      </c>
      <c r="Z23" s="12" t="s">
        <v>71</v>
      </c>
    </row>
    <row r="24" spans="1:26" x14ac:dyDescent="0.25">
      <c r="A24" s="5">
        <v>20</v>
      </c>
      <c r="B24" s="5" t="s">
        <v>62</v>
      </c>
      <c r="C24" s="6" t="s">
        <v>72</v>
      </c>
      <c r="D24" s="7" t="s">
        <v>31</v>
      </c>
      <c r="E24" s="5">
        <v>1</v>
      </c>
      <c r="F24" s="5">
        <v>2</v>
      </c>
      <c r="G24" s="5">
        <v>1</v>
      </c>
      <c r="H24" s="5">
        <v>3</v>
      </c>
      <c r="I24" s="5">
        <v>1</v>
      </c>
      <c r="J24" s="5" t="s">
        <v>64</v>
      </c>
      <c r="K24" s="5">
        <v>3</v>
      </c>
      <c r="L24" s="8">
        <f>SUM(E24:I24)+K24</f>
      </c>
      <c r="M24" s="5">
        <f>IF(L24&gt;=15,"Shortlist",IF(L24&lt;10,"Drop","Middle"))</f>
      </c>
      <c r="N24" s="9"/>
      <c r="O24" s="10"/>
      <c r="P24" s="5">
        <f>(E24&lt;&gt;'Score reasons'!C21)+(F24&lt;&gt;'Score reasons'!F21)+(G24&lt;&gt;'Score reasons'!I21)+(H24&lt;&gt;'Score reasons'!L21)+(I24&lt;&gt;'Score reasons'!O21)+(J24&lt;&gt;'Score reasons'!R21)+(K24&lt;&gt;'Score reasons'!U21)</f>
      </c>
      <c r="Q24" s="11">
        <v>11</v>
      </c>
      <c r="R24" s="11">
        <v>11</v>
      </c>
      <c r="S24" s="11">
        <v>16</v>
      </c>
      <c r="T24" s="11" t="s">
        <v>65</v>
      </c>
      <c r="U24" s="11" t="s">
        <v>65</v>
      </c>
      <c r="V24" s="11" t="s">
        <v>65</v>
      </c>
      <c r="W24" s="11" t="s">
        <v>65</v>
      </c>
      <c r="X24" s="11" t="s">
        <v>65</v>
      </c>
      <c r="Y24" s="11" t="s">
        <v>65</v>
      </c>
      <c r="Z24" s="12" t="s">
        <v>72</v>
      </c>
    </row>
  </sheetData>
  <autoFilter ref="A4:Z24"/>
  <mergeCells count="2">
    <mergeCell ref="A2:Z2"/>
    <mergeCell ref="A3:Z3"/>
  </mergeCells>
  <conditionalFormatting sqref="E5:K24">
    <cfRule type="cellIs" dxfId="0" priority="1" operator="equal">
      <formula>3</formula>
    </cfRule>
    <cfRule type="cellIs" dxfId="1" priority="2" operator="equal">
      <formula>2</formula>
    </cfRule>
    <cfRule type="cellIs" dxfId="2" priority="3" operator="equal">
      <formula>1</formula>
    </cfRule>
  </conditionalFormatting>
  <conditionalFormatting sqref="L5:L24">
    <cfRule type="cellIs" dxfId="3" priority="4" operator="greaterThan">
      <formula>14</formula>
    </cfRule>
    <cfRule type="cellIs" dxfId="4" priority="5" operator="between">
      <formula>10</formula>
      <formula>14</formula>
    </cfRule>
    <cfRule type="cellIs" dxfId="5" priority="6" operator="lessThan">
      <formula>10</formula>
    </cfRule>
  </conditionalFormatting>
  <conditionalFormatting sqref="M5:M24">
    <cfRule type="expression" dxfId="6" priority="7">
      <formula>$M5="Shortlist"</formula>
    </cfRule>
    <cfRule type="expression" dxfId="7" priority="8">
      <formula>$M5="Middle"</formula>
    </cfRule>
    <cfRule type="expression" dxfId="8" priority="9">
      <formula>$M5="Drop"</formula>
    </cfRule>
  </conditionalFormatting>
  <conditionalFormatting sqref="M5:M24">
    <cfRule type="expression" dxfId="9" priority="16">
      <formula>$M5="Review"</formula>
    </cfRule>
  </conditionalFormatting>
  <conditionalFormatting sqref="N5:N24">
    <cfRule type="expression" dxfId="10" priority="10">
      <formula>$N5="yes"</formula>
    </cfRule>
    <cfRule type="expression" dxfId="11" priority="11">
      <formula>$N5="maybe"</formula>
    </cfRule>
    <cfRule type="expression" dxfId="12" priority="12">
      <formula>$N5="no"</formula>
    </cfRule>
  </conditionalFormatting>
  <conditionalFormatting sqref="T5:W24">
    <cfRule type="expression" dxfId="13" priority="13">
      <formula>T5="pass"</formula>
    </cfRule>
    <cfRule type="expression" dxfId="14" priority="14">
      <formula>T5="unsupported"</formula>
    </cfRule>
    <cfRule type="expression" dxfId="15" priority="15">
      <formula>LEFT(T5,4)="FAIL"</formula>
    </cfRule>
  </conditionalFormatting>
  <dataValidations count="4">
    <dataValidation type="whole" showErrorMessage="1" errorTitle="Score" error="Scores are whole numbers from 1 to 3." sqref="E10:K24">
      <formula1>1</formula1>
      <formula2>3</formula2>
    </dataValidation>
    <dataValidation type="whole" showErrorMessage="1" errorTitle="Score" error="Scores are whole numbers from 1 to 3." sqref="E5:K24">
      <formula1>1</formula1>
      <formula2>3</formula2>
    </dataValidation>
    <dataValidation type="list" allowBlank="1" showErrorMessage="1" errorTitle="Pursue?" error="Choose yes, maybe, or no." sqref="N10:N24">
      <formula1>"yes,maybe,no"</formula1>
    </dataValidation>
    <dataValidation type="list" allowBlank="1" showErrorMessage="1" errorTitle="Pursue?" error="Choose yes, maybe, or no." sqref="N5:N24">
      <formula1>"yes,maybe,no"</formula1>
    </dataValidation>
  </dataValidations>
  <hyperlinks>
    <hyperlink ref="D5" r:id="rId1"/>
    <hyperlink ref="D6" r:id="rId2"/>
    <hyperlink ref="D7" r:id="rId3"/>
    <hyperlink ref="D8" r:id="rId4"/>
    <hyperlink ref="D9" r:id="rId5"/>
    <hyperlink ref="D10" r:id="rId6"/>
    <hyperlink ref="D11" r:id="rId7"/>
    <hyperlink ref="D12" r:id="rId8"/>
    <hyperlink ref="D13" r:id="rId9"/>
    <hyperlink ref="D14" r:id="rId10"/>
    <hyperlink ref="D15" r:id="rId11"/>
    <hyperlink ref="D16" r:id="rId12"/>
    <hyperlink ref="D17" r:id="rId13"/>
    <hyperlink ref="D18" r:id="rId14"/>
    <hyperlink ref="D19" r:id="rId15"/>
    <hyperlink ref="D20" r:id="rId16"/>
    <hyperlink ref="D21" r:id="rId17"/>
    <hyperlink ref="D22" r:id="rId18"/>
    <hyperlink ref="D23" r:id="rId19"/>
    <hyperlink ref="D24" r:id="rId20"/>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1"/>
  <sheetViews>
    <sheetView workbookViewId="0">
      <pane xSplit="2" ySplit="1" topLeftCell="C2" activePane="bottomRight" state="frozen"/>
      <selection pane="bottomRight"/>
    </sheetView>
  </sheetViews>
  <sheetFormatPr defaultRowHeight="15" outlineLevelRow="0" outlineLevelCol="0" x14ac:dyDescent="55"/>
  <cols>
    <col min="1" max="1" width="5" customWidth="1"/>
    <col min="2" max="2" width="45" customWidth="1"/>
    <col min="3" max="3" width="8" customWidth="1"/>
    <col min="4" max="4" width="16" customWidth="1"/>
    <col min="5" max="5" width="40" customWidth="1"/>
    <col min="6" max="6" width="8" customWidth="1"/>
    <col min="7" max="7" width="16" customWidth="1"/>
    <col min="8" max="8" width="40" customWidth="1"/>
    <col min="9" max="9" width="8" customWidth="1"/>
    <col min="10" max="10" width="16" customWidth="1"/>
    <col min="11" max="11" width="40" customWidth="1"/>
    <col min="12" max="12" width="8" customWidth="1"/>
    <col min="13" max="13" width="16" customWidth="1"/>
    <col min="14" max="14" width="40" customWidth="1"/>
    <col min="15" max="15" width="8" customWidth="1"/>
    <col min="16" max="16" width="16" customWidth="1"/>
    <col min="17" max="17" width="40" customWidth="1"/>
    <col min="18" max="18" width="8" customWidth="1"/>
    <col min="19" max="19" width="16" customWidth="1"/>
    <col min="20" max="20" width="40" customWidth="1"/>
    <col min="21" max="21" width="8" customWidth="1"/>
    <col min="22" max="22" width="16" customWidth="1"/>
    <col min="23" max="23" width="40" customWidth="1"/>
    <col min="24" max="24" width="14" customWidth="1"/>
    <col min="25" max="25" width="40" customWidth="1"/>
    <col min="26" max="26" width="14" customWidth="1"/>
    <col min="27" max="27" width="40" customWidth="1"/>
    <col min="28" max="28" width="14" customWidth="1"/>
    <col min="29" max="29" width="40" customWidth="1"/>
    <col min="30" max="30" width="14" customWidth="1"/>
    <col min="31" max="31" width="40" customWidth="1"/>
  </cols>
  <sheetData>
    <row r="1" ht="30" customHeight="1" spans="1:31" x14ac:dyDescent="0.25">
      <c r="A1" s="4" t="s">
        <v>3</v>
      </c>
      <c r="B1" s="4" t="s">
        <v>5</v>
      </c>
      <c r="C1" s="4" t="s">
        <v>73</v>
      </c>
      <c r="D1" s="4" t="s">
        <v>74</v>
      </c>
      <c r="E1" s="4" t="s">
        <v>75</v>
      </c>
      <c r="F1" s="4" t="s">
        <v>76</v>
      </c>
      <c r="G1" s="4" t="s">
        <v>77</v>
      </c>
      <c r="H1" s="4" t="s">
        <v>78</v>
      </c>
      <c r="I1" s="4" t="s">
        <v>79</v>
      </c>
      <c r="J1" s="4" t="s">
        <v>80</v>
      </c>
      <c r="K1" s="4" t="s">
        <v>81</v>
      </c>
      <c r="L1" s="4" t="s">
        <v>82</v>
      </c>
      <c r="M1" s="4" t="s">
        <v>83</v>
      </c>
      <c r="N1" s="4" t="s">
        <v>84</v>
      </c>
      <c r="O1" s="4" t="s">
        <v>85</v>
      </c>
      <c r="P1" s="4" t="s">
        <v>86</v>
      </c>
      <c r="Q1" s="4" t="s">
        <v>87</v>
      </c>
      <c r="R1" s="4" t="s">
        <v>88</v>
      </c>
      <c r="S1" s="4" t="s">
        <v>89</v>
      </c>
      <c r="T1" s="4" t="s">
        <v>90</v>
      </c>
      <c r="U1" s="4" t="s">
        <v>91</v>
      </c>
      <c r="V1" s="4" t="s">
        <v>92</v>
      </c>
      <c r="W1" s="4" t="s">
        <v>93</v>
      </c>
      <c r="X1" s="4" t="s">
        <v>94</v>
      </c>
      <c r="Y1" s="4" t="s">
        <v>95</v>
      </c>
      <c r="Z1" s="4" t="s">
        <v>96</v>
      </c>
      <c r="AA1" s="4" t="s">
        <v>97</v>
      </c>
      <c r="AB1" s="4" t="s">
        <v>98</v>
      </c>
      <c r="AC1" s="4" t="s">
        <v>99</v>
      </c>
      <c r="AD1" s="4" t="s">
        <v>100</v>
      </c>
      <c r="AE1" s="4" t="s">
        <v>101</v>
      </c>
    </row>
    <row r="2" spans="1:31" x14ac:dyDescent="0.25">
      <c r="A2" s="6">
        <v>1</v>
      </c>
      <c r="B2" s="6" t="s">
        <v>30</v>
      </c>
      <c r="C2" s="6">
        <v>3</v>
      </c>
      <c r="D2" s="6" t="s">
        <v>102</v>
      </c>
      <c r="E2" s="6" t="s">
        <v>103</v>
      </c>
      <c r="F2" s="6">
        <v>3</v>
      </c>
      <c r="G2" s="6" t="s">
        <v>104</v>
      </c>
      <c r="H2" s="6" t="s">
        <v>105</v>
      </c>
      <c r="I2" s="6">
        <v>3</v>
      </c>
      <c r="J2" s="6" t="s">
        <v>104</v>
      </c>
      <c r="K2" s="6" t="s">
        <v>106</v>
      </c>
      <c r="L2" s="6">
        <v>3</v>
      </c>
      <c r="M2" s="6" t="s">
        <v>104</v>
      </c>
      <c r="N2" s="6" t="s">
        <v>107</v>
      </c>
      <c r="O2" s="6">
        <v>3</v>
      </c>
      <c r="P2" s="6" t="s">
        <v>104</v>
      </c>
      <c r="Q2" s="6" t="s">
        <v>108</v>
      </c>
      <c r="R2" s="6">
        <v>2</v>
      </c>
      <c r="S2" s="6" t="s">
        <v>104</v>
      </c>
      <c r="T2" s="6" t="s">
        <v>109</v>
      </c>
      <c r="U2" s="6">
        <v>2</v>
      </c>
      <c r="V2" s="6" t="s">
        <v>102</v>
      </c>
      <c r="W2" s="6" t="s">
        <v>110</v>
      </c>
      <c r="X2" s="6" t="s">
        <v>32</v>
      </c>
      <c r="Y2" s="6" t="s">
        <v>111</v>
      </c>
      <c r="Z2" s="6" t="s">
        <v>32</v>
      </c>
      <c r="AA2" s="6" t="s">
        <v>112</v>
      </c>
      <c r="AB2" s="6" t="s">
        <v>32</v>
      </c>
      <c r="AC2" s="6" t="s">
        <v>113</v>
      </c>
      <c r="AD2" s="6" t="s">
        <v>32</v>
      </c>
      <c r="AE2" s="6" t="s">
        <v>114</v>
      </c>
    </row>
    <row r="3" spans="1:31" x14ac:dyDescent="0.25">
      <c r="A3" s="6">
        <v>2</v>
      </c>
      <c r="B3" s="6" t="s">
        <v>35</v>
      </c>
      <c r="C3" s="6">
        <v>2</v>
      </c>
      <c r="D3" s="6" t="s">
        <v>102</v>
      </c>
      <c r="E3" s="6" t="s">
        <v>115</v>
      </c>
      <c r="F3" s="6">
        <v>3</v>
      </c>
      <c r="G3" s="6" t="s">
        <v>104</v>
      </c>
      <c r="H3" s="6" t="s">
        <v>116</v>
      </c>
      <c r="I3" s="6">
        <v>2</v>
      </c>
      <c r="J3" s="6" t="s">
        <v>104</v>
      </c>
      <c r="K3" s="6" t="s">
        <v>117</v>
      </c>
      <c r="L3" s="6">
        <v>3</v>
      </c>
      <c r="M3" s="6" t="s">
        <v>104</v>
      </c>
      <c r="N3" s="6" t="s">
        <v>118</v>
      </c>
      <c r="O3" s="6">
        <v>2</v>
      </c>
      <c r="P3" s="6" t="s">
        <v>104</v>
      </c>
      <c r="Q3" s="6" t="s">
        <v>119</v>
      </c>
      <c r="R3" s="6">
        <v>2</v>
      </c>
      <c r="S3" s="6" t="s">
        <v>104</v>
      </c>
      <c r="T3" s="6" t="s">
        <v>120</v>
      </c>
      <c r="U3" s="6">
        <v>2</v>
      </c>
      <c r="V3" s="6" t="s">
        <v>102</v>
      </c>
      <c r="W3" s="6" t="s">
        <v>110</v>
      </c>
      <c r="X3" s="6" t="s">
        <v>32</v>
      </c>
      <c r="Y3" s="6" t="s">
        <v>121</v>
      </c>
      <c r="Z3" s="6" t="s">
        <v>32</v>
      </c>
      <c r="AA3" s="6" t="s">
        <v>122</v>
      </c>
      <c r="AB3" s="6" t="s">
        <v>32</v>
      </c>
      <c r="AC3" s="6" t="s">
        <v>123</v>
      </c>
      <c r="AD3" s="6" t="s">
        <v>32</v>
      </c>
      <c r="AE3" s="6" t="s">
        <v>121</v>
      </c>
    </row>
    <row r="4" spans="1:31" x14ac:dyDescent="0.25">
      <c r="A4" s="6">
        <v>3</v>
      </c>
      <c r="B4" s="6" t="s">
        <v>37</v>
      </c>
      <c r="C4" s="6">
        <v>1</v>
      </c>
      <c r="D4" s="6" t="s">
        <v>102</v>
      </c>
      <c r="E4" s="6" t="s">
        <v>124</v>
      </c>
      <c r="F4" s="6">
        <v>2</v>
      </c>
      <c r="G4" s="6" t="s">
        <v>104</v>
      </c>
      <c r="H4" s="6" t="s">
        <v>125</v>
      </c>
      <c r="I4" s="6">
        <v>2</v>
      </c>
      <c r="J4" s="6" t="s">
        <v>104</v>
      </c>
      <c r="K4" s="6" t="s">
        <v>126</v>
      </c>
      <c r="L4" s="6">
        <v>2</v>
      </c>
      <c r="M4" s="6" t="s">
        <v>104</v>
      </c>
      <c r="N4" s="6" t="s">
        <v>127</v>
      </c>
      <c r="O4" s="6">
        <v>3</v>
      </c>
      <c r="P4" s="6" t="s">
        <v>104</v>
      </c>
      <c r="Q4" s="6" t="s">
        <v>128</v>
      </c>
      <c r="R4" s="6">
        <v>2</v>
      </c>
      <c r="S4" s="6" t="s">
        <v>104</v>
      </c>
      <c r="T4" s="6" t="s">
        <v>129</v>
      </c>
      <c r="U4" s="6">
        <v>2</v>
      </c>
      <c r="V4" s="6" t="s">
        <v>102</v>
      </c>
      <c r="W4" s="6" t="s">
        <v>110</v>
      </c>
      <c r="X4" s="6" t="s">
        <v>32</v>
      </c>
      <c r="Y4" s="6" t="s">
        <v>130</v>
      </c>
      <c r="Z4" s="6" t="s">
        <v>32</v>
      </c>
      <c r="AA4" s="6" t="s">
        <v>131</v>
      </c>
      <c r="AB4" s="6" t="s">
        <v>32</v>
      </c>
      <c r="AC4" s="6" t="s">
        <v>132</v>
      </c>
      <c r="AD4" s="6" t="s">
        <v>32</v>
      </c>
      <c r="AE4" s="6" t="s">
        <v>133</v>
      </c>
    </row>
    <row r="5" spans="1:31" x14ac:dyDescent="0.25">
      <c r="A5" s="6">
        <v>4</v>
      </c>
      <c r="B5" s="6" t="s">
        <v>39</v>
      </c>
      <c r="C5" s="6">
        <v>2</v>
      </c>
      <c r="D5" s="6" t="s">
        <v>102</v>
      </c>
      <c r="E5" s="6" t="s">
        <v>134</v>
      </c>
      <c r="F5" s="6">
        <v>2</v>
      </c>
      <c r="G5" s="6" t="s">
        <v>104</v>
      </c>
      <c r="H5" s="6" t="s">
        <v>135</v>
      </c>
      <c r="I5" s="6">
        <v>2</v>
      </c>
      <c r="J5" s="6" t="s">
        <v>104</v>
      </c>
      <c r="K5" s="6" t="s">
        <v>136</v>
      </c>
      <c r="L5" s="6">
        <v>2</v>
      </c>
      <c r="M5" s="6" t="s">
        <v>104</v>
      </c>
      <c r="N5" s="6" t="s">
        <v>137</v>
      </c>
      <c r="O5" s="6">
        <v>2</v>
      </c>
      <c r="P5" s="6" t="s">
        <v>104</v>
      </c>
      <c r="Q5" s="6" t="s">
        <v>138</v>
      </c>
      <c r="R5" s="6">
        <v>2</v>
      </c>
      <c r="S5" s="6" t="s">
        <v>104</v>
      </c>
      <c r="T5" s="6" t="s">
        <v>139</v>
      </c>
      <c r="U5" s="6">
        <v>2</v>
      </c>
      <c r="V5" s="6" t="s">
        <v>102</v>
      </c>
      <c r="W5" s="6" t="s">
        <v>110</v>
      </c>
      <c r="X5" s="6" t="s">
        <v>32</v>
      </c>
      <c r="Y5" s="6" t="s">
        <v>140</v>
      </c>
      <c r="Z5" s="6" t="s">
        <v>32</v>
      </c>
      <c r="AA5" s="6" t="s">
        <v>141</v>
      </c>
      <c r="AB5" s="6" t="s">
        <v>32</v>
      </c>
      <c r="AC5" s="6" t="s">
        <v>142</v>
      </c>
      <c r="AD5" s="6" t="s">
        <v>32</v>
      </c>
      <c r="AE5" s="6" t="s">
        <v>143</v>
      </c>
    </row>
    <row r="6" spans="1:31" x14ac:dyDescent="0.25">
      <c r="A6" s="6">
        <v>5</v>
      </c>
      <c r="B6" s="6" t="s">
        <v>41</v>
      </c>
      <c r="C6" s="6">
        <v>2</v>
      </c>
      <c r="D6" s="6" t="s">
        <v>102</v>
      </c>
      <c r="E6" s="6" t="s">
        <v>144</v>
      </c>
      <c r="F6" s="6">
        <v>3</v>
      </c>
      <c r="G6" s="6" t="s">
        <v>104</v>
      </c>
      <c r="H6" s="6" t="s">
        <v>145</v>
      </c>
      <c r="I6" s="6">
        <v>1</v>
      </c>
      <c r="J6" s="6" t="s">
        <v>104</v>
      </c>
      <c r="K6" s="6" t="s">
        <v>146</v>
      </c>
      <c r="L6" s="6">
        <v>1</v>
      </c>
      <c r="M6" s="6" t="s">
        <v>104</v>
      </c>
      <c r="N6" s="6" t="s">
        <v>147</v>
      </c>
      <c r="O6" s="6">
        <v>2</v>
      </c>
      <c r="P6" s="6" t="s">
        <v>104</v>
      </c>
      <c r="Q6" s="6" t="s">
        <v>148</v>
      </c>
      <c r="R6" s="6">
        <v>2</v>
      </c>
      <c r="S6" s="6" t="s">
        <v>104</v>
      </c>
      <c r="T6" s="6" t="s">
        <v>149</v>
      </c>
      <c r="U6" s="6">
        <v>2</v>
      </c>
      <c r="V6" s="6" t="s">
        <v>102</v>
      </c>
      <c r="W6" s="6" t="s">
        <v>110</v>
      </c>
      <c r="X6" s="6" t="s">
        <v>32</v>
      </c>
      <c r="Y6" s="6" t="s">
        <v>150</v>
      </c>
      <c r="Z6" s="6" t="s">
        <v>32</v>
      </c>
      <c r="AA6" s="6" t="s">
        <v>151</v>
      </c>
      <c r="AB6" s="6" t="s">
        <v>32</v>
      </c>
      <c r="AC6" s="6" t="s">
        <v>152</v>
      </c>
      <c r="AD6" s="6" t="s">
        <v>32</v>
      </c>
      <c r="AE6" s="6" t="s">
        <v>153</v>
      </c>
    </row>
    <row r="7" spans="1:31" x14ac:dyDescent="0.25">
      <c r="A7" s="6">
        <v>6</v>
      </c>
      <c r="B7" s="6" t="s">
        <v>43</v>
      </c>
      <c r="C7" s="6">
        <v>2</v>
      </c>
      <c r="D7" s="6" t="s">
        <v>102</v>
      </c>
      <c r="E7" s="6" t="s">
        <v>154</v>
      </c>
      <c r="F7" s="6">
        <v>3</v>
      </c>
      <c r="G7" s="6" t="s">
        <v>104</v>
      </c>
      <c r="H7" s="6" t="s">
        <v>155</v>
      </c>
      <c r="I7" s="6">
        <v>1</v>
      </c>
      <c r="J7" s="6" t="s">
        <v>104</v>
      </c>
      <c r="K7" s="6" t="s">
        <v>156</v>
      </c>
      <c r="L7" s="6">
        <v>1</v>
      </c>
      <c r="M7" s="6" t="s">
        <v>104</v>
      </c>
      <c r="N7" s="6" t="s">
        <v>157</v>
      </c>
      <c r="O7" s="6">
        <v>2</v>
      </c>
      <c r="P7" s="6" t="s">
        <v>104</v>
      </c>
      <c r="Q7" s="6" t="s">
        <v>158</v>
      </c>
      <c r="R7" s="6">
        <v>1</v>
      </c>
      <c r="S7" s="6" t="s">
        <v>104</v>
      </c>
      <c r="T7" s="6" t="s">
        <v>159</v>
      </c>
      <c r="U7" s="6">
        <v>3</v>
      </c>
      <c r="V7" s="6" t="s">
        <v>102</v>
      </c>
      <c r="W7" s="6" t="s">
        <v>160</v>
      </c>
      <c r="X7" s="6" t="s">
        <v>32</v>
      </c>
      <c r="Y7" s="6" t="s">
        <v>161</v>
      </c>
      <c r="Z7" s="6" t="s">
        <v>32</v>
      </c>
      <c r="AA7" s="6" t="s">
        <v>162</v>
      </c>
      <c r="AB7" s="6" t="s">
        <v>32</v>
      </c>
      <c r="AC7" s="6" t="s">
        <v>163</v>
      </c>
      <c r="AD7" s="6" t="s">
        <v>32</v>
      </c>
      <c r="AE7" s="6" t="s">
        <v>164</v>
      </c>
    </row>
    <row r="8" spans="1:31" x14ac:dyDescent="0.25">
      <c r="A8" s="6">
        <v>7</v>
      </c>
      <c r="B8" s="6" t="s">
        <v>45</v>
      </c>
      <c r="C8" s="6">
        <v>1</v>
      </c>
      <c r="D8" s="6" t="s">
        <v>102</v>
      </c>
      <c r="E8" s="6" t="s">
        <v>165</v>
      </c>
      <c r="F8" s="6">
        <v>1</v>
      </c>
      <c r="G8" s="6" t="s">
        <v>104</v>
      </c>
      <c r="H8" s="6" t="s">
        <v>166</v>
      </c>
      <c r="I8" s="6">
        <v>1</v>
      </c>
      <c r="J8" s="6" t="s">
        <v>104</v>
      </c>
      <c r="K8" s="6" t="s">
        <v>167</v>
      </c>
      <c r="L8" s="6">
        <v>2</v>
      </c>
      <c r="M8" s="6" t="s">
        <v>104</v>
      </c>
      <c r="N8" s="6" t="s">
        <v>168</v>
      </c>
      <c r="O8" s="6">
        <v>2</v>
      </c>
      <c r="P8" s="6" t="s">
        <v>104</v>
      </c>
      <c r="Q8" s="6" t="s">
        <v>169</v>
      </c>
      <c r="R8" s="6">
        <v>1</v>
      </c>
      <c r="S8" s="6" t="s">
        <v>104</v>
      </c>
      <c r="T8" s="6" t="s">
        <v>170</v>
      </c>
      <c r="U8" s="6">
        <v>2</v>
      </c>
      <c r="V8" s="6" t="s">
        <v>102</v>
      </c>
      <c r="W8" s="6" t="s">
        <v>110</v>
      </c>
      <c r="X8" s="6" t="s">
        <v>32</v>
      </c>
      <c r="Y8" s="6" t="s">
        <v>171</v>
      </c>
      <c r="Z8" s="6" t="s">
        <v>32</v>
      </c>
      <c r="AA8" s="6" t="s">
        <v>172</v>
      </c>
      <c r="AB8" s="6" t="s">
        <v>32</v>
      </c>
      <c r="AC8" s="6" t="s">
        <v>173</v>
      </c>
      <c r="AD8" s="6" t="s">
        <v>32</v>
      </c>
      <c r="AE8" s="6" t="s">
        <v>174</v>
      </c>
    </row>
    <row r="9" spans="1:31" x14ac:dyDescent="0.25">
      <c r="A9" s="6">
        <v>8</v>
      </c>
      <c r="B9" s="6" t="s">
        <v>47</v>
      </c>
      <c r="C9" s="6">
        <v>1</v>
      </c>
      <c r="D9" s="6" t="s">
        <v>102</v>
      </c>
      <c r="E9" s="6" t="s">
        <v>175</v>
      </c>
      <c r="F9" s="6">
        <v>1</v>
      </c>
      <c r="G9" s="6" t="s">
        <v>104</v>
      </c>
      <c r="H9" s="6" t="s">
        <v>176</v>
      </c>
      <c r="I9" s="6">
        <v>2</v>
      </c>
      <c r="J9" s="6" t="s">
        <v>104</v>
      </c>
      <c r="K9" s="6" t="s">
        <v>177</v>
      </c>
      <c r="L9" s="6">
        <v>3</v>
      </c>
      <c r="M9" s="6" t="s">
        <v>104</v>
      </c>
      <c r="N9" s="6" t="s">
        <v>178</v>
      </c>
      <c r="O9" s="6">
        <v>3</v>
      </c>
      <c r="P9" s="6" t="s">
        <v>104</v>
      </c>
      <c r="Q9" s="6" t="s">
        <v>179</v>
      </c>
      <c r="R9" s="6">
        <v>3</v>
      </c>
      <c r="S9" s="6" t="s">
        <v>104</v>
      </c>
      <c r="T9" s="6" t="s">
        <v>180</v>
      </c>
      <c r="U9" s="6">
        <v>2</v>
      </c>
      <c r="V9" s="6" t="s">
        <v>102</v>
      </c>
      <c r="W9" s="6" t="s">
        <v>110</v>
      </c>
      <c r="X9" s="6" t="s">
        <v>48</v>
      </c>
      <c r="Y9" s="6" t="s">
        <v>181</v>
      </c>
      <c r="Z9" s="6" t="s">
        <v>48</v>
      </c>
      <c r="AA9" s="6" t="s">
        <v>182</v>
      </c>
      <c r="AB9" s="6" t="s">
        <v>48</v>
      </c>
      <c r="AC9" s="6" t="s">
        <v>183</v>
      </c>
      <c r="AD9" s="6" t="s">
        <v>48</v>
      </c>
      <c r="AE9" s="6" t="s">
        <v>184</v>
      </c>
    </row>
    <row r="10" spans="1:31" x14ac:dyDescent="0.25">
      <c r="A10" s="6">
        <v>9</v>
      </c>
      <c r="B10" s="6" t="s">
        <v>51</v>
      </c>
      <c r="C10" s="6">
        <v>1</v>
      </c>
      <c r="D10" s="6" t="s">
        <v>102</v>
      </c>
      <c r="E10" s="6" t="s">
        <v>185</v>
      </c>
      <c r="F10" s="6">
        <v>1</v>
      </c>
      <c r="G10" s="6" t="s">
        <v>104</v>
      </c>
      <c r="H10" s="6" t="s">
        <v>186</v>
      </c>
      <c r="I10" s="6">
        <v>2</v>
      </c>
      <c r="J10" s="6" t="s">
        <v>104</v>
      </c>
      <c r="K10" s="6" t="s">
        <v>187</v>
      </c>
      <c r="L10" s="6">
        <v>3</v>
      </c>
      <c r="M10" s="6" t="s">
        <v>104</v>
      </c>
      <c r="N10" s="6" t="s">
        <v>188</v>
      </c>
      <c r="O10" s="6">
        <v>3</v>
      </c>
      <c r="P10" s="6" t="s">
        <v>104</v>
      </c>
      <c r="Q10" s="6" t="s">
        <v>189</v>
      </c>
      <c r="R10" s="6">
        <v>1</v>
      </c>
      <c r="S10" s="6" t="s">
        <v>104</v>
      </c>
      <c r="T10" s="6" t="s">
        <v>190</v>
      </c>
      <c r="U10" s="6">
        <v>2</v>
      </c>
      <c r="V10" s="6" t="s">
        <v>102</v>
      </c>
      <c r="W10" s="6" t="s">
        <v>110</v>
      </c>
      <c r="X10" s="6" t="s">
        <v>48</v>
      </c>
      <c r="Y10" s="6" t="s">
        <v>191</v>
      </c>
      <c r="Z10" s="6" t="s">
        <v>32</v>
      </c>
      <c r="AA10" s="6" t="s">
        <v>192</v>
      </c>
      <c r="AB10" s="6" t="s">
        <v>32</v>
      </c>
      <c r="AC10" s="6" t="s">
        <v>193</v>
      </c>
      <c r="AD10" s="6" t="s">
        <v>48</v>
      </c>
      <c r="AE10" s="6" t="s">
        <v>194</v>
      </c>
    </row>
    <row r="11" spans="1:31" x14ac:dyDescent="0.25">
      <c r="A11" s="6">
        <v>10</v>
      </c>
      <c r="B11" s="6" t="s">
        <v>54</v>
      </c>
      <c r="C11" s="6">
        <v>1</v>
      </c>
      <c r="D11" s="6" t="s">
        <v>102</v>
      </c>
      <c r="E11" s="6" t="s">
        <v>185</v>
      </c>
      <c r="F11" s="6">
        <v>1</v>
      </c>
      <c r="G11" s="6" t="s">
        <v>104</v>
      </c>
      <c r="H11" s="6" t="s">
        <v>195</v>
      </c>
      <c r="I11" s="6">
        <v>2</v>
      </c>
      <c r="J11" s="6" t="s">
        <v>104</v>
      </c>
      <c r="K11" s="6" t="s">
        <v>196</v>
      </c>
      <c r="L11" s="6">
        <v>2</v>
      </c>
      <c r="M11" s="6" t="s">
        <v>104</v>
      </c>
      <c r="N11" s="6" t="s">
        <v>197</v>
      </c>
      <c r="O11" s="6">
        <v>2</v>
      </c>
      <c r="P11" s="6" t="s">
        <v>104</v>
      </c>
      <c r="Q11" s="6" t="s">
        <v>198</v>
      </c>
      <c r="R11" s="6">
        <v>2</v>
      </c>
      <c r="S11" s="6" t="s">
        <v>104</v>
      </c>
      <c r="T11" s="6" t="s">
        <v>199</v>
      </c>
      <c r="U11" s="6">
        <v>3</v>
      </c>
      <c r="V11" s="6" t="s">
        <v>102</v>
      </c>
      <c r="W11" s="6" t="s">
        <v>160</v>
      </c>
      <c r="X11" s="6" t="s">
        <v>48</v>
      </c>
      <c r="Y11" s="6" t="s">
        <v>200</v>
      </c>
      <c r="Z11" s="6" t="s">
        <v>32</v>
      </c>
      <c r="AA11" s="6" t="s">
        <v>201</v>
      </c>
      <c r="AB11" s="6" t="s">
        <v>32</v>
      </c>
      <c r="AC11" s="6" t="s">
        <v>202</v>
      </c>
      <c r="AD11" s="6" t="s">
        <v>32</v>
      </c>
      <c r="AE11" s="6" t="s">
        <v>203</v>
      </c>
    </row>
    <row r="12" spans="1:31" x14ac:dyDescent="0.25">
      <c r="A12" s="6">
        <v>11</v>
      </c>
      <c r="B12" s="6" t="s">
        <v>57</v>
      </c>
      <c r="C12" s="6">
        <v>1</v>
      </c>
      <c r="D12" s="6" t="s">
        <v>102</v>
      </c>
      <c r="E12" s="6" t="s">
        <v>175</v>
      </c>
      <c r="F12" s="6">
        <v>1</v>
      </c>
      <c r="G12" s="6" t="s">
        <v>104</v>
      </c>
      <c r="H12" s="6" t="s">
        <v>204</v>
      </c>
      <c r="I12" s="6">
        <v>3</v>
      </c>
      <c r="J12" s="6" t="s">
        <v>104</v>
      </c>
      <c r="K12" s="6" t="s">
        <v>205</v>
      </c>
      <c r="L12" s="6">
        <v>2</v>
      </c>
      <c r="M12" s="6" t="s">
        <v>104</v>
      </c>
      <c r="N12" s="6" t="s">
        <v>206</v>
      </c>
      <c r="O12" s="6">
        <v>3</v>
      </c>
      <c r="P12" s="6" t="s">
        <v>104</v>
      </c>
      <c r="Q12" s="6" t="s">
        <v>207</v>
      </c>
      <c r="R12" s="6">
        <v>1</v>
      </c>
      <c r="S12" s="6" t="s">
        <v>104</v>
      </c>
      <c r="T12" s="6" t="s">
        <v>208</v>
      </c>
      <c r="U12" s="6">
        <v>2</v>
      </c>
      <c r="V12" s="6" t="s">
        <v>102</v>
      </c>
      <c r="W12" s="6" t="s">
        <v>110</v>
      </c>
      <c r="X12" s="6" t="s">
        <v>48</v>
      </c>
      <c r="Y12" s="6" t="s">
        <v>209</v>
      </c>
      <c r="Z12" s="6" t="s">
        <v>48</v>
      </c>
      <c r="AA12" s="6" t="s">
        <v>210</v>
      </c>
      <c r="AB12" s="6" t="s">
        <v>32</v>
      </c>
      <c r="AC12" s="6" t="s">
        <v>211</v>
      </c>
      <c r="AD12" s="6" t="s">
        <v>48</v>
      </c>
      <c r="AE12" s="6" t="s">
        <v>212</v>
      </c>
    </row>
    <row r="13" spans="1:31" x14ac:dyDescent="0.25">
      <c r="A13" s="6">
        <v>12</v>
      </c>
      <c r="B13" s="6" t="s">
        <v>60</v>
      </c>
      <c r="C13" s="6">
        <v>1</v>
      </c>
      <c r="D13" s="6" t="s">
        <v>102</v>
      </c>
      <c r="E13" s="6" t="s">
        <v>185</v>
      </c>
      <c r="F13" s="6">
        <v>1</v>
      </c>
      <c r="G13" s="6" t="s">
        <v>104</v>
      </c>
      <c r="H13" s="6" t="s">
        <v>213</v>
      </c>
      <c r="I13" s="6">
        <v>1</v>
      </c>
      <c r="J13" s="6" t="s">
        <v>104</v>
      </c>
      <c r="K13" s="6" t="s">
        <v>214</v>
      </c>
      <c r="L13" s="6">
        <v>1</v>
      </c>
      <c r="M13" s="6" t="s">
        <v>104</v>
      </c>
      <c r="N13" s="6" t="s">
        <v>215</v>
      </c>
      <c r="O13" s="6">
        <v>2</v>
      </c>
      <c r="P13" s="6" t="s">
        <v>104</v>
      </c>
      <c r="Q13" s="6" t="s">
        <v>216</v>
      </c>
      <c r="R13" s="6">
        <v>1</v>
      </c>
      <c r="S13" s="6" t="s">
        <v>104</v>
      </c>
      <c r="T13" s="6" t="s">
        <v>217</v>
      </c>
      <c r="U13" s="6">
        <v>2</v>
      </c>
      <c r="V13" s="6" t="s">
        <v>102</v>
      </c>
      <c r="W13" s="6" t="s">
        <v>110</v>
      </c>
      <c r="X13" s="6" t="s">
        <v>48</v>
      </c>
      <c r="Y13" s="6" t="s">
        <v>218</v>
      </c>
      <c r="Z13" s="6" t="s">
        <v>48</v>
      </c>
      <c r="AA13" s="6" t="s">
        <v>219</v>
      </c>
      <c r="AB13" s="6" t="s">
        <v>48</v>
      </c>
      <c r="AC13" s="6" t="s">
        <v>220</v>
      </c>
      <c r="AD13" s="6" t="s">
        <v>48</v>
      </c>
      <c r="AE13" s="6" t="s">
        <v>221</v>
      </c>
    </row>
    <row r="14" spans="1:31" x14ac:dyDescent="0.25">
      <c r="A14" s="6">
        <v>13</v>
      </c>
      <c r="B14" s="6" t="s">
        <v>63</v>
      </c>
      <c r="C14" s="6">
        <v>3</v>
      </c>
      <c r="D14" s="6" t="s">
        <v>102</v>
      </c>
      <c r="E14" s="6" t="s">
        <v>222</v>
      </c>
      <c r="F14" s="6">
        <v>3</v>
      </c>
      <c r="G14" s="6" t="s">
        <v>102</v>
      </c>
      <c r="H14" s="6" t="s">
        <v>223</v>
      </c>
      <c r="I14" s="6">
        <v>1</v>
      </c>
      <c r="J14" s="6" t="s">
        <v>102</v>
      </c>
      <c r="K14" s="6" t="s">
        <v>224</v>
      </c>
      <c r="L14" s="6">
        <v>3</v>
      </c>
      <c r="M14" s="6" t="s">
        <v>102</v>
      </c>
      <c r="N14" s="6" t="s">
        <v>225</v>
      </c>
      <c r="O14" s="6">
        <v>1</v>
      </c>
      <c r="P14" s="6" t="s">
        <v>102</v>
      </c>
      <c r="Q14" s="6" t="s">
        <v>226</v>
      </c>
      <c r="R14" s="6" t="s">
        <v>64</v>
      </c>
      <c r="S14" s="6" t="s">
        <v>65</v>
      </c>
      <c r="T14" s="6" t="s">
        <v>65</v>
      </c>
      <c r="U14" s="6">
        <v>3</v>
      </c>
      <c r="V14" s="6" t="s">
        <v>102</v>
      </c>
      <c r="W14" s="6" t="s">
        <v>227</v>
      </c>
      <c r="X14" s="6" t="s">
        <v>65</v>
      </c>
      <c r="Y14" s="6" t="s">
        <v>65</v>
      </c>
      <c r="Z14" s="6" t="s">
        <v>65</v>
      </c>
      <c r="AA14" s="6" t="s">
        <v>65</v>
      </c>
      <c r="AB14" s="6" t="s">
        <v>65</v>
      </c>
      <c r="AC14" s="6" t="s">
        <v>65</v>
      </c>
      <c r="AD14" s="6" t="s">
        <v>65</v>
      </c>
      <c r="AE14" s="6" t="s">
        <v>65</v>
      </c>
    </row>
    <row r="15" spans="1:31" x14ac:dyDescent="0.25">
      <c r="A15" s="6">
        <v>14</v>
      </c>
      <c r="B15" s="6" t="s">
        <v>66</v>
      </c>
      <c r="C15" s="6">
        <v>3</v>
      </c>
      <c r="D15" s="6" t="s">
        <v>102</v>
      </c>
      <c r="E15" s="6" t="s">
        <v>228</v>
      </c>
      <c r="F15" s="6">
        <v>3</v>
      </c>
      <c r="G15" s="6" t="s">
        <v>102</v>
      </c>
      <c r="H15" s="6" t="s">
        <v>229</v>
      </c>
      <c r="I15" s="6">
        <v>1</v>
      </c>
      <c r="J15" s="6" t="s">
        <v>102</v>
      </c>
      <c r="K15" s="6" t="s">
        <v>224</v>
      </c>
      <c r="L15" s="6">
        <v>3</v>
      </c>
      <c r="M15" s="6" t="s">
        <v>102</v>
      </c>
      <c r="N15" s="6" t="s">
        <v>225</v>
      </c>
      <c r="O15" s="6">
        <v>1</v>
      </c>
      <c r="P15" s="6" t="s">
        <v>102</v>
      </c>
      <c r="Q15" s="6" t="s">
        <v>226</v>
      </c>
      <c r="R15" s="6" t="s">
        <v>64</v>
      </c>
      <c r="S15" s="6" t="s">
        <v>65</v>
      </c>
      <c r="T15" s="6" t="s">
        <v>65</v>
      </c>
      <c r="U15" s="6">
        <v>3</v>
      </c>
      <c r="V15" s="6" t="s">
        <v>102</v>
      </c>
      <c r="W15" s="6" t="s">
        <v>227</v>
      </c>
      <c r="X15" s="6" t="s">
        <v>65</v>
      </c>
      <c r="Y15" s="6" t="s">
        <v>65</v>
      </c>
      <c r="Z15" s="6" t="s">
        <v>65</v>
      </c>
      <c r="AA15" s="6" t="s">
        <v>65</v>
      </c>
      <c r="AB15" s="6" t="s">
        <v>65</v>
      </c>
      <c r="AC15" s="6" t="s">
        <v>65</v>
      </c>
      <c r="AD15" s="6" t="s">
        <v>65</v>
      </c>
      <c r="AE15" s="6" t="s">
        <v>65</v>
      </c>
    </row>
    <row r="16" spans="1:31" x14ac:dyDescent="0.25">
      <c r="A16" s="6">
        <v>15</v>
      </c>
      <c r="B16" s="6" t="s">
        <v>67</v>
      </c>
      <c r="C16" s="6">
        <v>3</v>
      </c>
      <c r="D16" s="6" t="s">
        <v>102</v>
      </c>
      <c r="E16" s="6" t="s">
        <v>230</v>
      </c>
      <c r="F16" s="6">
        <v>3</v>
      </c>
      <c r="G16" s="6" t="s">
        <v>102</v>
      </c>
      <c r="H16" s="6" t="s">
        <v>231</v>
      </c>
      <c r="I16" s="6">
        <v>1</v>
      </c>
      <c r="J16" s="6" t="s">
        <v>102</v>
      </c>
      <c r="K16" s="6" t="s">
        <v>224</v>
      </c>
      <c r="L16" s="6">
        <v>3</v>
      </c>
      <c r="M16" s="6" t="s">
        <v>102</v>
      </c>
      <c r="N16" s="6" t="s">
        <v>225</v>
      </c>
      <c r="O16" s="6">
        <v>1</v>
      </c>
      <c r="P16" s="6" t="s">
        <v>102</v>
      </c>
      <c r="Q16" s="6" t="s">
        <v>226</v>
      </c>
      <c r="R16" s="6" t="s">
        <v>64</v>
      </c>
      <c r="S16" s="6" t="s">
        <v>65</v>
      </c>
      <c r="T16" s="6" t="s">
        <v>65</v>
      </c>
      <c r="U16" s="6">
        <v>3</v>
      </c>
      <c r="V16" s="6" t="s">
        <v>102</v>
      </c>
      <c r="W16" s="6" t="s">
        <v>227</v>
      </c>
      <c r="X16" s="6" t="s">
        <v>65</v>
      </c>
      <c r="Y16" s="6" t="s">
        <v>65</v>
      </c>
      <c r="Z16" s="6" t="s">
        <v>65</v>
      </c>
      <c r="AA16" s="6" t="s">
        <v>65</v>
      </c>
      <c r="AB16" s="6" t="s">
        <v>65</v>
      </c>
      <c r="AC16" s="6" t="s">
        <v>65</v>
      </c>
      <c r="AD16" s="6" t="s">
        <v>65</v>
      </c>
      <c r="AE16" s="6" t="s">
        <v>65</v>
      </c>
    </row>
    <row r="17" spans="1:31" x14ac:dyDescent="0.25">
      <c r="A17" s="6">
        <v>16</v>
      </c>
      <c r="B17" s="6" t="s">
        <v>68</v>
      </c>
      <c r="C17" s="6">
        <v>3</v>
      </c>
      <c r="D17" s="6" t="s">
        <v>102</v>
      </c>
      <c r="E17" s="6" t="s">
        <v>232</v>
      </c>
      <c r="F17" s="6">
        <v>3</v>
      </c>
      <c r="G17" s="6" t="s">
        <v>102</v>
      </c>
      <c r="H17" s="6" t="s">
        <v>233</v>
      </c>
      <c r="I17" s="6">
        <v>1</v>
      </c>
      <c r="J17" s="6" t="s">
        <v>102</v>
      </c>
      <c r="K17" s="6" t="s">
        <v>224</v>
      </c>
      <c r="L17" s="6">
        <v>3</v>
      </c>
      <c r="M17" s="6" t="s">
        <v>102</v>
      </c>
      <c r="N17" s="6" t="s">
        <v>225</v>
      </c>
      <c r="O17" s="6">
        <v>1</v>
      </c>
      <c r="P17" s="6" t="s">
        <v>102</v>
      </c>
      <c r="Q17" s="6" t="s">
        <v>226</v>
      </c>
      <c r="R17" s="6" t="s">
        <v>64</v>
      </c>
      <c r="S17" s="6" t="s">
        <v>65</v>
      </c>
      <c r="T17" s="6" t="s">
        <v>65</v>
      </c>
      <c r="U17" s="6">
        <v>3</v>
      </c>
      <c r="V17" s="6" t="s">
        <v>102</v>
      </c>
      <c r="W17" s="6" t="s">
        <v>227</v>
      </c>
      <c r="X17" s="6" t="s">
        <v>65</v>
      </c>
      <c r="Y17" s="6" t="s">
        <v>65</v>
      </c>
      <c r="Z17" s="6" t="s">
        <v>65</v>
      </c>
      <c r="AA17" s="6" t="s">
        <v>65</v>
      </c>
      <c r="AB17" s="6" t="s">
        <v>65</v>
      </c>
      <c r="AC17" s="6" t="s">
        <v>65</v>
      </c>
      <c r="AD17" s="6" t="s">
        <v>65</v>
      </c>
      <c r="AE17" s="6" t="s">
        <v>65</v>
      </c>
    </row>
    <row r="18" spans="1:31" x14ac:dyDescent="0.25">
      <c r="A18" s="6">
        <v>17</v>
      </c>
      <c r="B18" s="6" t="s">
        <v>69</v>
      </c>
      <c r="C18" s="6">
        <v>3</v>
      </c>
      <c r="D18" s="6" t="s">
        <v>102</v>
      </c>
      <c r="E18" s="6" t="s">
        <v>234</v>
      </c>
      <c r="F18" s="6">
        <v>3</v>
      </c>
      <c r="G18" s="6" t="s">
        <v>102</v>
      </c>
      <c r="H18" s="6" t="s">
        <v>235</v>
      </c>
      <c r="I18" s="6">
        <v>1</v>
      </c>
      <c r="J18" s="6" t="s">
        <v>102</v>
      </c>
      <c r="K18" s="6" t="s">
        <v>224</v>
      </c>
      <c r="L18" s="6">
        <v>3</v>
      </c>
      <c r="M18" s="6" t="s">
        <v>102</v>
      </c>
      <c r="N18" s="6" t="s">
        <v>225</v>
      </c>
      <c r="O18" s="6">
        <v>1</v>
      </c>
      <c r="P18" s="6" t="s">
        <v>102</v>
      </c>
      <c r="Q18" s="6" t="s">
        <v>226</v>
      </c>
      <c r="R18" s="6" t="s">
        <v>64</v>
      </c>
      <c r="S18" s="6" t="s">
        <v>65</v>
      </c>
      <c r="T18" s="6" t="s">
        <v>65</v>
      </c>
      <c r="U18" s="6">
        <v>3</v>
      </c>
      <c r="V18" s="6" t="s">
        <v>102</v>
      </c>
      <c r="W18" s="6" t="s">
        <v>227</v>
      </c>
      <c r="X18" s="6" t="s">
        <v>65</v>
      </c>
      <c r="Y18" s="6" t="s">
        <v>65</v>
      </c>
      <c r="Z18" s="6" t="s">
        <v>65</v>
      </c>
      <c r="AA18" s="6" t="s">
        <v>65</v>
      </c>
      <c r="AB18" s="6" t="s">
        <v>65</v>
      </c>
      <c r="AC18" s="6" t="s">
        <v>65</v>
      </c>
      <c r="AD18" s="6" t="s">
        <v>65</v>
      </c>
      <c r="AE18" s="6" t="s">
        <v>65</v>
      </c>
    </row>
    <row r="19" spans="1:31" x14ac:dyDescent="0.25">
      <c r="A19" s="6">
        <v>18</v>
      </c>
      <c r="B19" s="6" t="s">
        <v>70</v>
      </c>
      <c r="C19" s="6">
        <v>3</v>
      </c>
      <c r="D19" s="6" t="s">
        <v>102</v>
      </c>
      <c r="E19" s="6" t="s">
        <v>236</v>
      </c>
      <c r="F19" s="6">
        <v>3</v>
      </c>
      <c r="G19" s="6" t="s">
        <v>102</v>
      </c>
      <c r="H19" s="6" t="s">
        <v>237</v>
      </c>
      <c r="I19" s="6">
        <v>1</v>
      </c>
      <c r="J19" s="6" t="s">
        <v>102</v>
      </c>
      <c r="K19" s="6" t="s">
        <v>224</v>
      </c>
      <c r="L19" s="6">
        <v>3</v>
      </c>
      <c r="M19" s="6" t="s">
        <v>102</v>
      </c>
      <c r="N19" s="6" t="s">
        <v>225</v>
      </c>
      <c r="O19" s="6">
        <v>1</v>
      </c>
      <c r="P19" s="6" t="s">
        <v>102</v>
      </c>
      <c r="Q19" s="6" t="s">
        <v>226</v>
      </c>
      <c r="R19" s="6" t="s">
        <v>64</v>
      </c>
      <c r="S19" s="6" t="s">
        <v>65</v>
      </c>
      <c r="T19" s="6" t="s">
        <v>65</v>
      </c>
      <c r="U19" s="6">
        <v>3</v>
      </c>
      <c r="V19" s="6" t="s">
        <v>102</v>
      </c>
      <c r="W19" s="6" t="s">
        <v>227</v>
      </c>
      <c r="X19" s="6" t="s">
        <v>65</v>
      </c>
      <c r="Y19" s="6" t="s">
        <v>65</v>
      </c>
      <c r="Z19" s="6" t="s">
        <v>65</v>
      </c>
      <c r="AA19" s="6" t="s">
        <v>65</v>
      </c>
      <c r="AB19" s="6" t="s">
        <v>65</v>
      </c>
      <c r="AC19" s="6" t="s">
        <v>65</v>
      </c>
      <c r="AD19" s="6" t="s">
        <v>65</v>
      </c>
      <c r="AE19" s="6" t="s">
        <v>65</v>
      </c>
    </row>
    <row r="20" spans="1:31" x14ac:dyDescent="0.25">
      <c r="A20" s="6">
        <v>19</v>
      </c>
      <c r="B20" s="6" t="s">
        <v>71</v>
      </c>
      <c r="C20" s="6">
        <v>1</v>
      </c>
      <c r="D20" s="6" t="s">
        <v>102</v>
      </c>
      <c r="E20" s="6" t="s">
        <v>238</v>
      </c>
      <c r="F20" s="6">
        <v>2</v>
      </c>
      <c r="G20" s="6" t="s">
        <v>102</v>
      </c>
      <c r="H20" s="6" t="s">
        <v>239</v>
      </c>
      <c r="I20" s="6">
        <v>1</v>
      </c>
      <c r="J20" s="6" t="s">
        <v>102</v>
      </c>
      <c r="K20" s="6" t="s">
        <v>224</v>
      </c>
      <c r="L20" s="6">
        <v>3</v>
      </c>
      <c r="M20" s="6" t="s">
        <v>102</v>
      </c>
      <c r="N20" s="6" t="s">
        <v>225</v>
      </c>
      <c r="O20" s="6">
        <v>1</v>
      </c>
      <c r="P20" s="6" t="s">
        <v>102</v>
      </c>
      <c r="Q20" s="6" t="s">
        <v>226</v>
      </c>
      <c r="R20" s="6" t="s">
        <v>64</v>
      </c>
      <c r="S20" s="6" t="s">
        <v>65</v>
      </c>
      <c r="T20" s="6" t="s">
        <v>65</v>
      </c>
      <c r="U20" s="6">
        <v>3</v>
      </c>
      <c r="V20" s="6" t="s">
        <v>102</v>
      </c>
      <c r="W20" s="6" t="s">
        <v>227</v>
      </c>
      <c r="X20" s="6" t="s">
        <v>65</v>
      </c>
      <c r="Y20" s="6" t="s">
        <v>65</v>
      </c>
      <c r="Z20" s="6" t="s">
        <v>65</v>
      </c>
      <c r="AA20" s="6" t="s">
        <v>65</v>
      </c>
      <c r="AB20" s="6" t="s">
        <v>65</v>
      </c>
      <c r="AC20" s="6" t="s">
        <v>65</v>
      </c>
      <c r="AD20" s="6" t="s">
        <v>65</v>
      </c>
      <c r="AE20" s="6" t="s">
        <v>65</v>
      </c>
    </row>
    <row r="21" spans="1:31" x14ac:dyDescent="0.25">
      <c r="A21" s="6">
        <v>20</v>
      </c>
      <c r="B21" s="6" t="s">
        <v>72</v>
      </c>
      <c r="C21" s="6">
        <v>1</v>
      </c>
      <c r="D21" s="6" t="s">
        <v>102</v>
      </c>
      <c r="E21" s="6" t="s">
        <v>238</v>
      </c>
      <c r="F21" s="6">
        <v>2</v>
      </c>
      <c r="G21" s="6" t="s">
        <v>102</v>
      </c>
      <c r="H21" s="6" t="s">
        <v>240</v>
      </c>
      <c r="I21" s="6">
        <v>1</v>
      </c>
      <c r="J21" s="6" t="s">
        <v>102</v>
      </c>
      <c r="K21" s="6" t="s">
        <v>224</v>
      </c>
      <c r="L21" s="6">
        <v>3</v>
      </c>
      <c r="M21" s="6" t="s">
        <v>102</v>
      </c>
      <c r="N21" s="6" t="s">
        <v>225</v>
      </c>
      <c r="O21" s="6">
        <v>1</v>
      </c>
      <c r="P21" s="6" t="s">
        <v>102</v>
      </c>
      <c r="Q21" s="6" t="s">
        <v>226</v>
      </c>
      <c r="R21" s="6" t="s">
        <v>64</v>
      </c>
      <c r="S21" s="6" t="s">
        <v>65</v>
      </c>
      <c r="T21" s="6" t="s">
        <v>65</v>
      </c>
      <c r="U21" s="6">
        <v>3</v>
      </c>
      <c r="V21" s="6" t="s">
        <v>102</v>
      </c>
      <c r="W21" s="6" t="s">
        <v>227</v>
      </c>
      <c r="X21" s="6" t="s">
        <v>65</v>
      </c>
      <c r="Y21" s="6" t="s">
        <v>65</v>
      </c>
      <c r="Z21" s="6" t="s">
        <v>65</v>
      </c>
      <c r="AA21" s="6" t="s">
        <v>65</v>
      </c>
      <c r="AB21" s="6" t="s">
        <v>65</v>
      </c>
      <c r="AC21" s="6" t="s">
        <v>65</v>
      </c>
      <c r="AD21" s="6" t="s">
        <v>65</v>
      </c>
      <c r="AE21" s="6" t="s">
        <v>65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7" customWidth="1"/>
    <col min="3" max="4" width="45" customWidth="1"/>
    <col min="5" max="5" width="24" customWidth="1"/>
    <col min="6" max="6" width="60" customWidth="1"/>
    <col min="7" max="7" width="20" customWidth="1"/>
  </cols>
  <sheetData>
    <row r="1" ht="30" customHeight="1" spans="1:7" x14ac:dyDescent="0.25">
      <c r="A1" s="4" t="s">
        <v>3</v>
      </c>
      <c r="B1" s="4" t="s">
        <v>6</v>
      </c>
      <c r="C1" s="4" t="s">
        <v>241</v>
      </c>
      <c r="D1" s="4" t="s">
        <v>242</v>
      </c>
      <c r="E1" s="4" t="s">
        <v>243</v>
      </c>
      <c r="F1" s="4" t="s">
        <v>244</v>
      </c>
      <c r="G1" s="4" t="s">
        <v>245</v>
      </c>
    </row>
    <row r="2" spans="1:7" x14ac:dyDescent="0.25">
      <c r="A2" s="6">
        <v>1</v>
      </c>
      <c r="B2" s="6" t="s">
        <v>31</v>
      </c>
      <c r="C2" s="6" t="s">
        <v>246</v>
      </c>
      <c r="D2" s="6" t="s">
        <v>247</v>
      </c>
      <c r="E2" s="6" t="s">
        <v>24</v>
      </c>
      <c r="F2" s="6" t="s">
        <v>248</v>
      </c>
      <c r="G2" s="6" t="s">
        <v>249</v>
      </c>
    </row>
    <row r="3" spans="1:7" x14ac:dyDescent="0.25">
      <c r="A3" s="6">
        <v>2</v>
      </c>
      <c r="B3" s="6" t="s">
        <v>31</v>
      </c>
      <c r="C3" s="6" t="s">
        <v>250</v>
      </c>
      <c r="D3" s="6" t="s">
        <v>251</v>
      </c>
      <c r="E3" s="6" t="s">
        <v>23</v>
      </c>
      <c r="F3" s="6" t="s">
        <v>252</v>
      </c>
      <c r="G3" s="6" t="s">
        <v>65</v>
      </c>
    </row>
    <row r="4" spans="1:7" x14ac:dyDescent="0.25">
      <c r="A4" s="6">
        <v>3</v>
      </c>
      <c r="B4" s="6" t="s">
        <v>31</v>
      </c>
      <c r="C4" s="6" t="s">
        <v>253</v>
      </c>
      <c r="D4" s="6" t="s">
        <v>254</v>
      </c>
      <c r="E4" s="6" t="s">
        <v>255</v>
      </c>
      <c r="F4" s="6" t="s">
        <v>256</v>
      </c>
      <c r="G4" s="6" t="s">
        <v>257</v>
      </c>
    </row>
    <row r="5" spans="1:7" x14ac:dyDescent="0.25">
      <c r="A5" s="6">
        <v>4</v>
      </c>
      <c r="B5" s="6" t="s">
        <v>31</v>
      </c>
      <c r="C5" s="6" t="s">
        <v>258</v>
      </c>
      <c r="D5" s="6" t="s">
        <v>259</v>
      </c>
      <c r="E5" s="6" t="s">
        <v>260</v>
      </c>
      <c r="F5" s="6" t="s">
        <v>261</v>
      </c>
      <c r="G5" s="6" t="s">
        <v>65</v>
      </c>
    </row>
    <row r="6" spans="1:7" x14ac:dyDescent="0.25">
      <c r="A6" s="6">
        <v>5</v>
      </c>
      <c r="B6" s="6" t="s">
        <v>31</v>
      </c>
      <c r="C6" s="6" t="s">
        <v>262</v>
      </c>
      <c r="D6" s="6" t="s">
        <v>263</v>
      </c>
      <c r="E6" s="6" t="s">
        <v>24</v>
      </c>
      <c r="F6" s="6" t="s">
        <v>264</v>
      </c>
      <c r="G6" s="6" t="s">
        <v>265</v>
      </c>
    </row>
    <row r="7" spans="1:7" x14ac:dyDescent="0.25">
      <c r="A7" s="6">
        <v>6</v>
      </c>
      <c r="B7" s="6" t="s">
        <v>31</v>
      </c>
      <c r="C7" s="6" t="s">
        <v>266</v>
      </c>
      <c r="D7" s="6" t="s">
        <v>267</v>
      </c>
      <c r="E7" s="6" t="s">
        <v>255</v>
      </c>
      <c r="F7" s="6" t="s">
        <v>268</v>
      </c>
      <c r="G7" s="6" t="s">
        <v>269</v>
      </c>
    </row>
    <row r="8" spans="1:7" x14ac:dyDescent="0.25">
      <c r="A8" s="6">
        <v>7</v>
      </c>
      <c r="B8" s="6" t="s">
        <v>31</v>
      </c>
      <c r="C8" s="6" t="s">
        <v>270</v>
      </c>
      <c r="D8" s="6" t="s">
        <v>271</v>
      </c>
      <c r="E8" s="6" t="s">
        <v>24</v>
      </c>
      <c r="F8" s="6" t="s">
        <v>272</v>
      </c>
      <c r="G8" s="6" t="s">
        <v>273</v>
      </c>
    </row>
    <row r="9" spans="1:7" x14ac:dyDescent="0.25">
      <c r="A9" s="6">
        <v>8</v>
      </c>
      <c r="B9" s="6" t="s">
        <v>31</v>
      </c>
      <c r="C9" s="6" t="s">
        <v>274</v>
      </c>
      <c r="D9" s="6" t="s">
        <v>275</v>
      </c>
      <c r="E9" s="6" t="s">
        <v>23</v>
      </c>
      <c r="F9" s="6" t="s">
        <v>276</v>
      </c>
      <c r="G9" s="6" t="s">
        <v>65</v>
      </c>
    </row>
    <row r="10" spans="1:7" x14ac:dyDescent="0.25">
      <c r="A10" s="6">
        <v>9</v>
      </c>
      <c r="B10" s="6" t="s">
        <v>31</v>
      </c>
      <c r="C10" s="6" t="s">
        <v>277</v>
      </c>
      <c r="D10" s="6" t="s">
        <v>278</v>
      </c>
      <c r="E10" s="6" t="s">
        <v>279</v>
      </c>
      <c r="F10" s="6" t="s">
        <v>280</v>
      </c>
      <c r="G10" s="6" t="s">
        <v>65</v>
      </c>
    </row>
    <row r="11" spans="1:7" x14ac:dyDescent="0.25">
      <c r="A11" s="6">
        <v>10</v>
      </c>
      <c r="B11" s="6" t="s">
        <v>31</v>
      </c>
      <c r="C11" s="6" t="s">
        <v>281</v>
      </c>
      <c r="D11" s="6" t="s">
        <v>282</v>
      </c>
      <c r="E11" s="6" t="s">
        <v>255</v>
      </c>
      <c r="F11" s="6" t="s">
        <v>283</v>
      </c>
      <c r="G11" s="6" t="s">
        <v>284</v>
      </c>
    </row>
    <row r="12" spans="1:7" x14ac:dyDescent="0.25">
      <c r="A12" s="6">
        <v>11</v>
      </c>
      <c r="B12" s="6" t="s">
        <v>31</v>
      </c>
      <c r="C12" s="6" t="s">
        <v>285</v>
      </c>
      <c r="D12" s="6" t="s">
        <v>286</v>
      </c>
      <c r="E12" s="6" t="s">
        <v>24</v>
      </c>
      <c r="F12" s="6" t="s">
        <v>287</v>
      </c>
      <c r="G12" s="6" t="s">
        <v>288</v>
      </c>
    </row>
    <row r="13" spans="1:7" x14ac:dyDescent="0.25">
      <c r="A13" s="6">
        <v>12</v>
      </c>
      <c r="B13" s="6" t="s">
        <v>31</v>
      </c>
      <c r="C13" s="6" t="s">
        <v>289</v>
      </c>
      <c r="D13" s="6" t="s">
        <v>290</v>
      </c>
      <c r="E13" s="6" t="s">
        <v>255</v>
      </c>
      <c r="F13" s="6" t="s">
        <v>291</v>
      </c>
      <c r="G13" s="6" t="s">
        <v>292</v>
      </c>
    </row>
    <row r="14" spans="1:7" x14ac:dyDescent="0.25">
      <c r="A14" s="6">
        <v>13</v>
      </c>
      <c r="B14" s="6" t="s">
        <v>31</v>
      </c>
      <c r="C14" s="6" t="s">
        <v>293</v>
      </c>
      <c r="D14" s="6" t="s">
        <v>294</v>
      </c>
      <c r="E14" s="6" t="s">
        <v>295</v>
      </c>
      <c r="F14" s="6" t="s">
        <v>296</v>
      </c>
      <c r="G14" s="6" t="s">
        <v>65</v>
      </c>
    </row>
    <row r="15" spans="1:7" x14ac:dyDescent="0.25">
      <c r="A15" s="6">
        <v>14</v>
      </c>
      <c r="B15" s="6" t="s">
        <v>31</v>
      </c>
      <c r="C15" s="6" t="s">
        <v>297</v>
      </c>
      <c r="D15" s="6" t="s">
        <v>298</v>
      </c>
      <c r="E15" s="6" t="s">
        <v>295</v>
      </c>
      <c r="F15" s="6" t="s">
        <v>299</v>
      </c>
      <c r="G15" s="6" t="s">
        <v>65</v>
      </c>
    </row>
    <row r="16" spans="1:7" x14ac:dyDescent="0.25">
      <c r="A16" s="6">
        <v>15</v>
      </c>
      <c r="B16" s="6" t="s">
        <v>31</v>
      </c>
      <c r="C16" s="6" t="s">
        <v>300</v>
      </c>
      <c r="D16" s="6" t="s">
        <v>301</v>
      </c>
      <c r="E16" s="6" t="s">
        <v>295</v>
      </c>
      <c r="F16" s="6" t="s">
        <v>302</v>
      </c>
      <c r="G16" s="6" t="s">
        <v>65</v>
      </c>
    </row>
    <row r="17" spans="1:7" x14ac:dyDescent="0.25">
      <c r="A17" s="6">
        <v>16</v>
      </c>
      <c r="B17" s="6" t="s">
        <v>31</v>
      </c>
      <c r="C17" s="6" t="s">
        <v>303</v>
      </c>
      <c r="D17" s="6" t="s">
        <v>304</v>
      </c>
      <c r="E17" s="6" t="s">
        <v>24</v>
      </c>
      <c r="F17" s="6" t="s">
        <v>305</v>
      </c>
      <c r="G17" s="6" t="s">
        <v>306</v>
      </c>
    </row>
    <row r="18" spans="1:7" x14ac:dyDescent="0.25">
      <c r="A18" s="6">
        <v>17</v>
      </c>
      <c r="B18" s="6" t="s">
        <v>31</v>
      </c>
      <c r="C18" s="6" t="s">
        <v>307</v>
      </c>
      <c r="D18" s="6" t="s">
        <v>308</v>
      </c>
      <c r="E18" s="6" t="s">
        <v>309</v>
      </c>
      <c r="F18" s="6" t="s">
        <v>310</v>
      </c>
      <c r="G18" s="6" t="s">
        <v>311</v>
      </c>
    </row>
    <row r="19" spans="1:7" x14ac:dyDescent="0.25">
      <c r="A19" s="6">
        <v>18</v>
      </c>
      <c r="B19" s="6" t="s">
        <v>31</v>
      </c>
      <c r="C19" s="6" t="s">
        <v>312</v>
      </c>
      <c r="D19" s="6" t="s">
        <v>313</v>
      </c>
      <c r="E19" s="6" t="s">
        <v>260</v>
      </c>
      <c r="F19" s="6" t="s">
        <v>314</v>
      </c>
      <c r="G19" s="6" t="s">
        <v>65</v>
      </c>
    </row>
    <row r="20" spans="1:7" x14ac:dyDescent="0.25">
      <c r="A20" s="6">
        <v>19</v>
      </c>
      <c r="B20" s="6" t="s">
        <v>31</v>
      </c>
      <c r="C20" s="6" t="s">
        <v>315</v>
      </c>
      <c r="D20" s="6" t="s">
        <v>316</v>
      </c>
      <c r="E20" s="6" t="s">
        <v>23</v>
      </c>
      <c r="F20" s="6" t="s">
        <v>317</v>
      </c>
      <c r="G20" s="6" t="s">
        <v>65</v>
      </c>
    </row>
    <row r="21" spans="1:7" x14ac:dyDescent="0.25">
      <c r="A21" s="6">
        <v>20</v>
      </c>
      <c r="B21" s="6" t="s">
        <v>31</v>
      </c>
      <c r="C21" s="6" t="s">
        <v>318</v>
      </c>
      <c r="D21" s="6" t="s">
        <v>319</v>
      </c>
      <c r="E21" s="6" t="s">
        <v>24</v>
      </c>
      <c r="F21" s="6" t="s">
        <v>320</v>
      </c>
      <c r="G21" s="6" t="s">
        <v>306</v>
      </c>
    </row>
    <row r="22" spans="1:7" x14ac:dyDescent="0.25">
      <c r="A22" s="6">
        <v>21</v>
      </c>
      <c r="B22" s="6" t="s">
        <v>31</v>
      </c>
      <c r="C22" s="6" t="s">
        <v>321</v>
      </c>
      <c r="D22" s="6" t="s">
        <v>322</v>
      </c>
      <c r="E22" s="6" t="s">
        <v>260</v>
      </c>
      <c r="F22" s="6" t="s">
        <v>323</v>
      </c>
      <c r="G22" s="6" t="s">
        <v>65</v>
      </c>
    </row>
    <row r="23" spans="1:7" x14ac:dyDescent="0.25">
      <c r="A23" s="6">
        <v>22</v>
      </c>
      <c r="B23" s="6" t="s">
        <v>31</v>
      </c>
      <c r="C23" s="6" t="s">
        <v>324</v>
      </c>
      <c r="D23" s="6" t="s">
        <v>325</v>
      </c>
      <c r="E23" s="6" t="s">
        <v>326</v>
      </c>
      <c r="F23" s="6" t="s">
        <v>327</v>
      </c>
      <c r="G23" s="6" t="s">
        <v>328</v>
      </c>
    </row>
    <row r="24" spans="1:7" x14ac:dyDescent="0.25">
      <c r="A24" s="6">
        <v>23</v>
      </c>
      <c r="B24" s="6" t="s">
        <v>31</v>
      </c>
      <c r="C24" s="6" t="s">
        <v>329</v>
      </c>
      <c r="D24" s="6" t="s">
        <v>330</v>
      </c>
      <c r="E24" s="6" t="s">
        <v>295</v>
      </c>
      <c r="F24" s="6" t="s">
        <v>331</v>
      </c>
      <c r="G24" s="6" t="s">
        <v>65</v>
      </c>
    </row>
    <row r="25" spans="1:7" x14ac:dyDescent="0.25">
      <c r="A25" s="6">
        <v>24</v>
      </c>
      <c r="B25" s="6" t="s">
        <v>31</v>
      </c>
      <c r="C25" s="6" t="s">
        <v>332</v>
      </c>
      <c r="D25" s="6" t="s">
        <v>333</v>
      </c>
      <c r="E25" s="6" t="s">
        <v>260</v>
      </c>
      <c r="F25" s="6" t="s">
        <v>334</v>
      </c>
      <c r="G25" s="6" t="s">
        <v>65</v>
      </c>
    </row>
    <row r="26" spans="1:7" x14ac:dyDescent="0.25">
      <c r="A26" s="6">
        <v>25</v>
      </c>
      <c r="B26" s="6" t="s">
        <v>31</v>
      </c>
      <c r="C26" s="6" t="s">
        <v>335</v>
      </c>
      <c r="D26" s="6" t="s">
        <v>336</v>
      </c>
      <c r="E26" s="6" t="s">
        <v>23</v>
      </c>
      <c r="F26" s="6" t="s">
        <v>337</v>
      </c>
      <c r="G26" s="6" t="s">
        <v>65</v>
      </c>
    </row>
    <row r="27" spans="1:7" x14ac:dyDescent="0.25">
      <c r="A27" s="6">
        <v>26</v>
      </c>
      <c r="B27" s="6" t="s">
        <v>31</v>
      </c>
      <c r="C27" s="6" t="s">
        <v>338</v>
      </c>
      <c r="D27" s="6" t="s">
        <v>339</v>
      </c>
      <c r="E27" s="6" t="s">
        <v>24</v>
      </c>
      <c r="F27" s="6" t="s">
        <v>340</v>
      </c>
      <c r="G27" s="6" t="s">
        <v>341</v>
      </c>
    </row>
    <row r="28" spans="1:7" x14ac:dyDescent="0.25">
      <c r="A28" s="6">
        <v>27</v>
      </c>
      <c r="B28" s="6" t="s">
        <v>31</v>
      </c>
      <c r="C28" s="6" t="s">
        <v>342</v>
      </c>
      <c r="D28" s="6" t="s">
        <v>343</v>
      </c>
      <c r="E28" s="6" t="s">
        <v>309</v>
      </c>
      <c r="F28" s="6" t="s">
        <v>344</v>
      </c>
      <c r="G28" s="6" t="s">
        <v>345</v>
      </c>
    </row>
    <row r="29" spans="1:7" x14ac:dyDescent="0.25">
      <c r="A29" s="6">
        <v>28</v>
      </c>
      <c r="B29" s="6" t="s">
        <v>31</v>
      </c>
      <c r="C29" s="6" t="s">
        <v>346</v>
      </c>
      <c r="D29" s="6" t="s">
        <v>347</v>
      </c>
      <c r="E29" s="6" t="s">
        <v>309</v>
      </c>
      <c r="F29" s="6" t="s">
        <v>348</v>
      </c>
      <c r="G29" s="6" t="s">
        <v>349</v>
      </c>
    </row>
    <row r="30" spans="1:7" x14ac:dyDescent="0.25">
      <c r="A30" s="6">
        <v>29</v>
      </c>
      <c r="B30" s="6" t="s">
        <v>31</v>
      </c>
      <c r="C30" s="6" t="s">
        <v>350</v>
      </c>
      <c r="D30" s="6" t="s">
        <v>351</v>
      </c>
      <c r="E30" s="6" t="s">
        <v>24</v>
      </c>
      <c r="F30" s="6" t="s">
        <v>352</v>
      </c>
      <c r="G30" s="6" t="s">
        <v>353</v>
      </c>
    </row>
    <row r="31" spans="1:7" x14ac:dyDescent="0.25">
      <c r="A31" s="6">
        <v>30</v>
      </c>
      <c r="B31" s="6" t="s">
        <v>31</v>
      </c>
      <c r="C31" s="6" t="s">
        <v>354</v>
      </c>
      <c r="D31" s="6" t="s">
        <v>355</v>
      </c>
      <c r="E31" s="6" t="s">
        <v>356</v>
      </c>
      <c r="F31" s="6" t="s">
        <v>357</v>
      </c>
      <c r="G31" s="6" t="s">
        <v>358</v>
      </c>
    </row>
    <row r="32" spans="1:7" x14ac:dyDescent="0.25">
      <c r="A32" s="6">
        <v>31</v>
      </c>
      <c r="B32" s="6" t="s">
        <v>31</v>
      </c>
      <c r="C32" s="6" t="s">
        <v>359</v>
      </c>
      <c r="D32" s="6" t="s">
        <v>360</v>
      </c>
      <c r="E32" s="6" t="s">
        <v>255</v>
      </c>
      <c r="F32" s="6" t="s">
        <v>361</v>
      </c>
      <c r="G32" s="6" t="s">
        <v>362</v>
      </c>
    </row>
    <row r="33" spans="1:7" x14ac:dyDescent="0.25">
      <c r="A33" s="6">
        <v>32</v>
      </c>
      <c r="B33" s="6" t="s">
        <v>31</v>
      </c>
      <c r="C33" s="6" t="s">
        <v>363</v>
      </c>
      <c r="D33" s="6" t="s">
        <v>364</v>
      </c>
      <c r="E33" s="6" t="s">
        <v>23</v>
      </c>
      <c r="F33" s="6" t="s">
        <v>365</v>
      </c>
      <c r="G33" s="6" t="s">
        <v>65</v>
      </c>
    </row>
    <row r="34" spans="1:7" x14ac:dyDescent="0.25">
      <c r="A34" s="6">
        <v>33</v>
      </c>
      <c r="B34" s="6" t="s">
        <v>31</v>
      </c>
      <c r="C34" s="6" t="s">
        <v>366</v>
      </c>
      <c r="D34" s="6" t="s">
        <v>367</v>
      </c>
      <c r="E34" s="6" t="s">
        <v>255</v>
      </c>
      <c r="F34" s="6" t="s">
        <v>368</v>
      </c>
      <c r="G34" s="6" t="s">
        <v>328</v>
      </c>
    </row>
    <row r="35" spans="1:7" x14ac:dyDescent="0.25">
      <c r="A35" s="6">
        <v>34</v>
      </c>
      <c r="B35" s="6" t="s">
        <v>31</v>
      </c>
      <c r="C35" s="6" t="s">
        <v>369</v>
      </c>
      <c r="D35" s="6" t="s">
        <v>370</v>
      </c>
      <c r="E35" s="6" t="s">
        <v>356</v>
      </c>
      <c r="F35" s="6" t="s">
        <v>371</v>
      </c>
      <c r="G35" s="6" t="s">
        <v>328</v>
      </c>
    </row>
    <row r="36" spans="1:7" x14ac:dyDescent="0.25">
      <c r="A36" s="6">
        <v>35</v>
      </c>
      <c r="B36" s="6" t="s">
        <v>31</v>
      </c>
      <c r="C36" s="6" t="s">
        <v>372</v>
      </c>
      <c r="D36" s="6" t="s">
        <v>373</v>
      </c>
      <c r="E36" s="6" t="s">
        <v>309</v>
      </c>
      <c r="F36" s="6" t="s">
        <v>374</v>
      </c>
      <c r="G36" s="6" t="s">
        <v>375</v>
      </c>
    </row>
    <row r="37" spans="1:7" x14ac:dyDescent="0.25">
      <c r="A37" s="6">
        <v>36</v>
      </c>
      <c r="B37" s="6" t="s">
        <v>31</v>
      </c>
      <c r="C37" s="6" t="s">
        <v>376</v>
      </c>
      <c r="D37" s="6" t="s">
        <v>377</v>
      </c>
      <c r="E37" s="6" t="s">
        <v>309</v>
      </c>
      <c r="F37" s="6" t="s">
        <v>378</v>
      </c>
      <c r="G37" s="6" t="s">
        <v>379</v>
      </c>
    </row>
    <row r="38" spans="1:7" x14ac:dyDescent="0.25">
      <c r="A38" s="6">
        <v>37</v>
      </c>
      <c r="B38" s="6" t="s">
        <v>31</v>
      </c>
      <c r="C38" s="6" t="s">
        <v>380</v>
      </c>
      <c r="D38" s="6" t="s">
        <v>381</v>
      </c>
      <c r="E38" s="6" t="s">
        <v>255</v>
      </c>
      <c r="F38" s="6" t="s">
        <v>382</v>
      </c>
      <c r="G38" s="6" t="s">
        <v>375</v>
      </c>
    </row>
    <row r="39" spans="1:7" x14ac:dyDescent="0.25">
      <c r="A39" s="6">
        <v>38</v>
      </c>
      <c r="B39" s="6" t="s">
        <v>31</v>
      </c>
      <c r="C39" s="6" t="s">
        <v>383</v>
      </c>
      <c r="D39" s="6" t="s">
        <v>384</v>
      </c>
      <c r="E39" s="6" t="s">
        <v>260</v>
      </c>
      <c r="F39" s="6" t="s">
        <v>385</v>
      </c>
      <c r="G39" s="6" t="s">
        <v>65</v>
      </c>
    </row>
    <row r="40" spans="1:7" x14ac:dyDescent="0.25">
      <c r="A40" s="6">
        <v>39</v>
      </c>
      <c r="B40" s="6" t="s">
        <v>31</v>
      </c>
      <c r="C40" s="6" t="s">
        <v>386</v>
      </c>
      <c r="D40" s="6" t="s">
        <v>387</v>
      </c>
      <c r="E40" s="6" t="s">
        <v>25</v>
      </c>
      <c r="F40" s="6" t="s">
        <v>388</v>
      </c>
      <c r="G40" s="6" t="s">
        <v>65</v>
      </c>
    </row>
    <row r="41" spans="1:7" x14ac:dyDescent="0.25">
      <c r="A41" s="6">
        <v>40</v>
      </c>
      <c r="B41" s="6" t="s">
        <v>31</v>
      </c>
      <c r="C41" s="6" t="s">
        <v>389</v>
      </c>
      <c r="D41" s="6" t="s">
        <v>390</v>
      </c>
      <c r="E41" s="6" t="s">
        <v>23</v>
      </c>
      <c r="F41" s="6" t="s">
        <v>391</v>
      </c>
      <c r="G41" s="6" t="s">
        <v>65</v>
      </c>
    </row>
    <row r="42" spans="1:7" x14ac:dyDescent="0.25">
      <c r="A42" s="6">
        <v>41</v>
      </c>
      <c r="B42" s="6" t="s">
        <v>31</v>
      </c>
      <c r="C42" s="6" t="s">
        <v>392</v>
      </c>
      <c r="D42" s="6" t="s">
        <v>393</v>
      </c>
      <c r="E42" s="6" t="s">
        <v>295</v>
      </c>
      <c r="F42" s="6" t="s">
        <v>394</v>
      </c>
      <c r="G42" s="6" t="s">
        <v>65</v>
      </c>
    </row>
    <row r="43" spans="1:7" x14ac:dyDescent="0.25">
      <c r="A43" s="6">
        <v>42</v>
      </c>
      <c r="B43" s="6" t="s">
        <v>31</v>
      </c>
      <c r="C43" s="6" t="s">
        <v>395</v>
      </c>
      <c r="D43" s="6" t="s">
        <v>396</v>
      </c>
      <c r="E43" s="6" t="s">
        <v>23</v>
      </c>
      <c r="F43" s="6" t="s">
        <v>397</v>
      </c>
      <c r="G43" s="6" t="s">
        <v>65</v>
      </c>
    </row>
    <row r="44" spans="1:7" x14ac:dyDescent="0.25">
      <c r="A44" s="6">
        <v>43</v>
      </c>
      <c r="B44" s="6" t="s">
        <v>31</v>
      </c>
      <c r="C44" s="6" t="s">
        <v>398</v>
      </c>
      <c r="D44" s="6" t="s">
        <v>399</v>
      </c>
      <c r="E44" s="6" t="s">
        <v>24</v>
      </c>
      <c r="F44" s="6" t="s">
        <v>400</v>
      </c>
      <c r="G44" s="6" t="s">
        <v>292</v>
      </c>
    </row>
    <row r="45" spans="1:7" x14ac:dyDescent="0.25">
      <c r="A45" s="6">
        <v>44</v>
      </c>
      <c r="B45" s="6" t="s">
        <v>31</v>
      </c>
      <c r="C45" s="6" t="s">
        <v>401</v>
      </c>
      <c r="D45" s="6" t="s">
        <v>402</v>
      </c>
      <c r="E45" s="6" t="s">
        <v>356</v>
      </c>
      <c r="F45" s="6" t="s">
        <v>403</v>
      </c>
      <c r="G45" s="6" t="s">
        <v>404</v>
      </c>
    </row>
    <row r="46" spans="1:7" x14ac:dyDescent="0.25">
      <c r="A46" s="6">
        <v>45</v>
      </c>
      <c r="B46" s="6" t="s">
        <v>31</v>
      </c>
      <c r="C46" s="6" t="s">
        <v>405</v>
      </c>
      <c r="D46" s="6" t="s">
        <v>406</v>
      </c>
      <c r="E46" s="6" t="s">
        <v>295</v>
      </c>
      <c r="F46" s="6" t="s">
        <v>407</v>
      </c>
      <c r="G46" s="6" t="s">
        <v>65</v>
      </c>
    </row>
    <row r="47" spans="1:7" x14ac:dyDescent="0.25">
      <c r="A47" s="6">
        <v>46</v>
      </c>
      <c r="B47" s="6" t="s">
        <v>31</v>
      </c>
      <c r="C47" s="6" t="s">
        <v>408</v>
      </c>
      <c r="D47" s="6" t="s">
        <v>409</v>
      </c>
      <c r="E47" s="6" t="s">
        <v>309</v>
      </c>
      <c r="F47" s="6" t="s">
        <v>410</v>
      </c>
      <c r="G47" s="6" t="s">
        <v>411</v>
      </c>
    </row>
    <row r="48" spans="1:7" x14ac:dyDescent="0.25">
      <c r="A48" s="6">
        <v>47</v>
      </c>
      <c r="B48" s="6" t="s">
        <v>31</v>
      </c>
      <c r="C48" s="6" t="s">
        <v>412</v>
      </c>
      <c r="D48" s="6" t="s">
        <v>413</v>
      </c>
      <c r="E48" s="6" t="s">
        <v>309</v>
      </c>
      <c r="F48" s="6" t="s">
        <v>414</v>
      </c>
      <c r="G48" s="6" t="s">
        <v>306</v>
      </c>
    </row>
    <row r="49" spans="1:7" x14ac:dyDescent="0.25">
      <c r="A49" s="6">
        <v>48</v>
      </c>
      <c r="B49" s="6" t="s">
        <v>31</v>
      </c>
      <c r="C49" s="6" t="s">
        <v>415</v>
      </c>
      <c r="D49" s="6" t="s">
        <v>416</v>
      </c>
      <c r="E49" s="6" t="s">
        <v>356</v>
      </c>
      <c r="F49" s="6" t="s">
        <v>417</v>
      </c>
      <c r="G49" s="6" t="s">
        <v>418</v>
      </c>
    </row>
    <row r="50" spans="1:7" x14ac:dyDescent="0.25">
      <c r="A50" s="6">
        <v>49</v>
      </c>
      <c r="B50" s="6" t="s">
        <v>31</v>
      </c>
      <c r="C50" s="6" t="s">
        <v>419</v>
      </c>
      <c r="D50" s="6" t="s">
        <v>420</v>
      </c>
      <c r="E50" s="6" t="s">
        <v>309</v>
      </c>
      <c r="F50" s="6" t="s">
        <v>421</v>
      </c>
      <c r="G50" s="6" t="s">
        <v>422</v>
      </c>
    </row>
    <row r="51" spans="1:7" x14ac:dyDescent="0.25">
      <c r="A51" s="6">
        <v>50</v>
      </c>
      <c r="B51" s="6" t="s">
        <v>31</v>
      </c>
      <c r="C51" s="6" t="s">
        <v>423</v>
      </c>
      <c r="D51" s="6" t="s">
        <v>424</v>
      </c>
      <c r="E51" s="6" t="s">
        <v>295</v>
      </c>
      <c r="F51" s="6" t="s">
        <v>425</v>
      </c>
      <c r="G51" s="6" t="s">
        <v>65</v>
      </c>
    </row>
    <row r="52" spans="1:7" x14ac:dyDescent="0.25">
      <c r="A52" s="6">
        <v>51</v>
      </c>
      <c r="B52" s="6" t="s">
        <v>31</v>
      </c>
      <c r="C52" s="6" t="s">
        <v>426</v>
      </c>
      <c r="D52" s="6" t="s">
        <v>427</v>
      </c>
      <c r="E52" s="6" t="s">
        <v>255</v>
      </c>
      <c r="F52" s="6" t="s">
        <v>428</v>
      </c>
      <c r="G52" s="6" t="s">
        <v>429</v>
      </c>
    </row>
    <row r="53" spans="1:7" x14ac:dyDescent="0.25">
      <c r="A53" s="6">
        <v>52</v>
      </c>
      <c r="B53" s="6" t="s">
        <v>31</v>
      </c>
      <c r="C53" s="6" t="s">
        <v>430</v>
      </c>
      <c r="D53" s="6" t="s">
        <v>431</v>
      </c>
      <c r="E53" s="6" t="s">
        <v>22</v>
      </c>
      <c r="F53" s="6" t="s">
        <v>432</v>
      </c>
      <c r="G53" s="6" t="s">
        <v>65</v>
      </c>
    </row>
    <row r="54" spans="1:7" x14ac:dyDescent="0.25">
      <c r="A54" s="6">
        <v>53</v>
      </c>
      <c r="B54" s="6" t="s">
        <v>31</v>
      </c>
      <c r="C54" s="6" t="s">
        <v>433</v>
      </c>
      <c r="D54" s="6" t="s">
        <v>434</v>
      </c>
      <c r="E54" s="6" t="s">
        <v>260</v>
      </c>
      <c r="F54" s="6" t="s">
        <v>435</v>
      </c>
      <c r="G54" s="6" t="s">
        <v>65</v>
      </c>
    </row>
    <row r="55" spans="1:7" x14ac:dyDescent="0.25">
      <c r="A55" s="6">
        <v>54</v>
      </c>
      <c r="B55" s="6" t="s">
        <v>31</v>
      </c>
      <c r="C55" s="6" t="s">
        <v>436</v>
      </c>
      <c r="D55" s="6" t="s">
        <v>437</v>
      </c>
      <c r="E55" s="6" t="s">
        <v>24</v>
      </c>
      <c r="F55" s="6" t="s">
        <v>438</v>
      </c>
      <c r="G55" s="6" t="s">
        <v>306</v>
      </c>
    </row>
    <row r="56" spans="1:7" x14ac:dyDescent="0.25">
      <c r="A56" s="6">
        <v>55</v>
      </c>
      <c r="B56" s="6" t="s">
        <v>31</v>
      </c>
      <c r="C56" s="6" t="s">
        <v>439</v>
      </c>
      <c r="D56" s="6" t="s">
        <v>440</v>
      </c>
      <c r="E56" s="6" t="s">
        <v>255</v>
      </c>
      <c r="F56" s="6" t="s">
        <v>441</v>
      </c>
      <c r="G56" s="6" t="s">
        <v>442</v>
      </c>
    </row>
    <row r="57" spans="1:7" x14ac:dyDescent="0.25">
      <c r="A57" s="6">
        <v>56</v>
      </c>
      <c r="B57" s="6" t="s">
        <v>31</v>
      </c>
      <c r="C57" s="6" t="s">
        <v>443</v>
      </c>
      <c r="D57" s="6" t="s">
        <v>444</v>
      </c>
      <c r="E57" s="6" t="s">
        <v>255</v>
      </c>
      <c r="F57" s="6" t="s">
        <v>445</v>
      </c>
      <c r="G57" s="6" t="s">
        <v>446</v>
      </c>
    </row>
    <row r="58" spans="1:7" x14ac:dyDescent="0.25">
      <c r="A58" s="6">
        <v>57</v>
      </c>
      <c r="B58" s="6" t="s">
        <v>31</v>
      </c>
      <c r="C58" s="6" t="s">
        <v>447</v>
      </c>
      <c r="D58" s="6" t="s">
        <v>448</v>
      </c>
      <c r="E58" s="6" t="s">
        <v>23</v>
      </c>
      <c r="F58" s="6" t="s">
        <v>449</v>
      </c>
      <c r="G58" s="6" t="s">
        <v>65</v>
      </c>
    </row>
    <row r="59" spans="1:7" x14ac:dyDescent="0.25">
      <c r="A59" s="6">
        <v>58</v>
      </c>
      <c r="B59" s="6" t="s">
        <v>31</v>
      </c>
      <c r="C59" s="6" t="s">
        <v>450</v>
      </c>
      <c r="D59" s="6" t="s">
        <v>451</v>
      </c>
      <c r="E59" s="6" t="s">
        <v>260</v>
      </c>
      <c r="F59" s="6" t="s">
        <v>452</v>
      </c>
      <c r="G59" s="6" t="s">
        <v>65</v>
      </c>
    </row>
    <row r="60" spans="1:7" x14ac:dyDescent="0.25">
      <c r="A60" s="6">
        <v>59</v>
      </c>
      <c r="B60" s="6" t="s">
        <v>31</v>
      </c>
      <c r="C60" s="6" t="s">
        <v>453</v>
      </c>
      <c r="D60" s="6" t="s">
        <v>454</v>
      </c>
      <c r="E60" s="6" t="s">
        <v>260</v>
      </c>
      <c r="F60" s="6" t="s">
        <v>455</v>
      </c>
      <c r="G60" s="6" t="s">
        <v>65</v>
      </c>
    </row>
    <row r="61" spans="1:7" x14ac:dyDescent="0.25">
      <c r="A61" s="6">
        <v>60</v>
      </c>
      <c r="B61" s="6" t="s">
        <v>31</v>
      </c>
      <c r="C61" s="6" t="s">
        <v>456</v>
      </c>
      <c r="D61" s="6" t="s">
        <v>457</v>
      </c>
      <c r="E61" s="6" t="s">
        <v>24</v>
      </c>
      <c r="F61" s="6" t="s">
        <v>458</v>
      </c>
      <c r="G61" s="6" t="s">
        <v>459</v>
      </c>
    </row>
    <row r="62" spans="1:7" x14ac:dyDescent="0.25">
      <c r="A62" s="6">
        <v>61</v>
      </c>
      <c r="B62" s="6" t="s">
        <v>31</v>
      </c>
      <c r="C62" s="6" t="s">
        <v>460</v>
      </c>
      <c r="D62" s="6" t="s">
        <v>461</v>
      </c>
      <c r="E62" s="6" t="s">
        <v>24</v>
      </c>
      <c r="F62" s="6" t="s">
        <v>462</v>
      </c>
      <c r="G62" s="6" t="s">
        <v>463</v>
      </c>
    </row>
    <row r="63" spans="1:7" x14ac:dyDescent="0.25">
      <c r="A63" s="6">
        <v>62</v>
      </c>
      <c r="B63" s="6" t="s">
        <v>31</v>
      </c>
      <c r="C63" s="6" t="s">
        <v>464</v>
      </c>
      <c r="D63" s="6" t="s">
        <v>465</v>
      </c>
      <c r="E63" s="6" t="s">
        <v>356</v>
      </c>
      <c r="F63" s="6" t="s">
        <v>466</v>
      </c>
      <c r="G63" s="6" t="s">
        <v>467</v>
      </c>
    </row>
    <row r="64" spans="1:7" x14ac:dyDescent="0.25">
      <c r="A64" s="6">
        <v>63</v>
      </c>
      <c r="B64" s="6" t="s">
        <v>31</v>
      </c>
      <c r="C64" s="6" t="s">
        <v>468</v>
      </c>
      <c r="D64" s="6" t="s">
        <v>469</v>
      </c>
      <c r="E64" s="6" t="s">
        <v>23</v>
      </c>
      <c r="F64" s="6" t="s">
        <v>470</v>
      </c>
      <c r="G64" s="6" t="s">
        <v>65</v>
      </c>
    </row>
    <row r="65" spans="1:7" x14ac:dyDescent="0.25">
      <c r="A65" s="6">
        <v>64</v>
      </c>
      <c r="B65" s="6" t="s">
        <v>31</v>
      </c>
      <c r="C65" s="6" t="s">
        <v>471</v>
      </c>
      <c r="D65" s="6" t="s">
        <v>472</v>
      </c>
      <c r="E65" s="6" t="s">
        <v>24</v>
      </c>
      <c r="F65" s="6" t="s">
        <v>473</v>
      </c>
      <c r="G65" s="6" t="s">
        <v>474</v>
      </c>
    </row>
    <row r="66" spans="1:7" x14ac:dyDescent="0.25">
      <c r="A66" s="6">
        <v>65</v>
      </c>
      <c r="B66" s="6" t="s">
        <v>31</v>
      </c>
      <c r="C66" s="6" t="s">
        <v>475</v>
      </c>
      <c r="D66" s="6" t="s">
        <v>476</v>
      </c>
      <c r="E66" s="6" t="s">
        <v>24</v>
      </c>
      <c r="F66" s="6" t="s">
        <v>477</v>
      </c>
      <c r="G66" s="6" t="s">
        <v>478</v>
      </c>
    </row>
    <row r="67" spans="1:7" x14ac:dyDescent="0.25">
      <c r="A67" s="6">
        <v>66</v>
      </c>
      <c r="B67" s="6" t="s">
        <v>31</v>
      </c>
      <c r="C67" s="6" t="s">
        <v>479</v>
      </c>
      <c r="D67" s="6" t="s">
        <v>480</v>
      </c>
      <c r="E67" s="6" t="s">
        <v>255</v>
      </c>
      <c r="F67" s="6" t="s">
        <v>481</v>
      </c>
      <c r="G67" s="6" t="s">
        <v>482</v>
      </c>
    </row>
    <row r="68" spans="1:7" x14ac:dyDescent="0.25">
      <c r="A68" s="6">
        <v>67</v>
      </c>
      <c r="B68" s="6" t="s">
        <v>31</v>
      </c>
      <c r="C68" s="6" t="s">
        <v>483</v>
      </c>
      <c r="D68" s="6" t="s">
        <v>484</v>
      </c>
      <c r="E68" s="6" t="s">
        <v>309</v>
      </c>
      <c r="F68" s="6" t="s">
        <v>485</v>
      </c>
      <c r="G68" s="6" t="s">
        <v>486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cols>
    <col min="1" max="1" width="46" customWidth="1"/>
    <col min="2" max="2" width="14" customWidth="1"/>
    <col min="3" max="3" width="70" customWidth="1"/>
  </cols>
  <sheetData>
    <row r="1" spans="1:3" x14ac:dyDescent="0.25">
      <c r="A1" s="1" t="s">
        <v>487</v>
      </c>
      <c r="B1" s="13"/>
      <c r="C1" s="6" t="s">
        <v>65</v>
      </c>
    </row>
    <row r="2" spans="1:3" x14ac:dyDescent="0.25">
      <c r="A2" s="14" t="s">
        <v>488</v>
      </c>
      <c r="B2" s="13"/>
      <c r="C2" s="6" t="s">
        <v>65</v>
      </c>
    </row>
    <row r="3" spans="1:3" x14ac:dyDescent="0.25">
      <c r="A3" s="13" t="s">
        <v>489</v>
      </c>
      <c r="B3" s="15"/>
      <c r="C3" s="6" t="s">
        <v>490</v>
      </c>
    </row>
    <row r="4" spans="1:3" x14ac:dyDescent="0.25">
      <c r="A4" s="13" t="s">
        <v>491</v>
      </c>
      <c r="B4" s="15"/>
      <c r="C4" s="6" t="s">
        <v>492</v>
      </c>
    </row>
    <row r="5" spans="1:3" x14ac:dyDescent="0.25">
      <c r="A5" s="14" t="s">
        <v>493</v>
      </c>
      <c r="B5" s="13"/>
      <c r="C5" s="6" t="s">
        <v>65</v>
      </c>
    </row>
    <row r="6" spans="1:3" x14ac:dyDescent="0.25">
      <c r="A6" s="13" t="s">
        <v>494</v>
      </c>
      <c r="B6" s="13">
        <f>COUNTA(Candidates!$C$5:$C$24)</f>
      </c>
      <c r="C6" s="6" t="s">
        <v>495</v>
      </c>
    </row>
    <row r="7" spans="1:3" x14ac:dyDescent="0.25">
      <c r="A7" s="13" t="s">
        <v>496</v>
      </c>
      <c r="B7" s="13">
        <f>COUNTIF(Candidates!$N$5:$N$24,"yes")+COUNTIF(Candidates!$N$5:$N$24,"maybe")+COUNTIF(Candidates!$N$5:$N$24,"no")</f>
      </c>
      <c r="C7" s="6" t="s">
        <v>497</v>
      </c>
    </row>
    <row r="8" spans="1:3" x14ac:dyDescent="0.25">
      <c r="A8" s="13" t="s">
        <v>498</v>
      </c>
      <c r="B8" s="13">
        <f>COUNTIF(Candidates!$N$5:$N$24,"yes")</f>
      </c>
      <c r="C8" s="6" t="s">
        <v>65</v>
      </c>
    </row>
    <row r="9" spans="1:3" x14ac:dyDescent="0.25">
      <c r="A9" s="13" t="s">
        <v>499</v>
      </c>
      <c r="B9" s="13">
        <f>COUNTIF(Candidates!$N$5:$N$24,"maybe")</f>
      </c>
      <c r="C9" s="6" t="s">
        <v>65</v>
      </c>
    </row>
    <row r="10" spans="1:3" x14ac:dyDescent="0.25">
      <c r="A10" s="13" t="s">
        <v>500</v>
      </c>
      <c r="B10" s="13">
        <f>COUNTIF(Candidates!$N$5:$N$24,"no")</f>
      </c>
      <c r="C10" s="6" t="s">
        <v>65</v>
      </c>
    </row>
    <row r="11" spans="1:3" x14ac:dyDescent="0.25">
      <c r="A11" s="13" t="s">
        <v>501</v>
      </c>
      <c r="B11" s="16">
        <f>IF(B6=0,0,B8/B6)</f>
      </c>
      <c r="C11" s="6" t="s">
        <v>502</v>
      </c>
    </row>
    <row r="12" spans="1:3" x14ac:dyDescent="0.25">
      <c r="A12" s="13" t="s">
        <v>503</v>
      </c>
      <c r="B12" s="16">
        <f>IF(B6=0,0,(B8+B9)/B6)</f>
      </c>
      <c r="C12" s="6" t="s">
        <v>65</v>
      </c>
    </row>
    <row r="13" spans="1:3" x14ac:dyDescent="0.25">
      <c r="A13" s="13" t="s">
        <v>504</v>
      </c>
      <c r="B13" s="16">
        <f>COUNTIFS(Candidates!$A$5:$A$24,"&lt;=10",Candidates!$N$5:$N$24,"yes")/10</f>
      </c>
      <c r="C13" s="6" t="s">
        <v>505</v>
      </c>
    </row>
    <row r="14" spans="1:3" x14ac:dyDescent="0.25">
      <c r="A14" s="13" t="s">
        <v>506</v>
      </c>
      <c r="B14" s="16">
        <f>COUNTIFS(Candidates!$S$5:$S$24,"&lt;=10",Candidates!$N$5:$N$24,"yes")/10</f>
      </c>
      <c r="C14" s="6" t="s">
        <v>507</v>
      </c>
    </row>
    <row r="15" spans="1:3" x14ac:dyDescent="0.25">
      <c r="A15" s="13" t="s">
        <v>508</v>
      </c>
      <c r="B15" s="13">
        <f>COUNTIF(Candidates!$M$5:$M$24,"Shortlist")</f>
      </c>
      <c r="C15" s="6" t="s">
        <v>509</v>
      </c>
    </row>
    <row r="16" spans="1:3" x14ac:dyDescent="0.25">
      <c r="A16" s="13" t="s">
        <v>510</v>
      </c>
      <c r="B16" s="13">
        <f>SUM(Candidates!$P$5:$P$24)</f>
      </c>
      <c r="C16" s="6" t="s">
        <v>511</v>
      </c>
    </row>
    <row r="17" spans="1:3" x14ac:dyDescent="0.25">
      <c r="A17" s="13" t="s">
        <v>512</v>
      </c>
      <c r="B17" s="17">
        <f>IF(B8=0,0,B4/60/B8)</f>
      </c>
      <c r="C17" s="6" t="s">
        <v>513</v>
      </c>
    </row>
    <row r="18" spans="1:3" x14ac:dyDescent="0.25">
      <c r="A18" s="14" t="s">
        <v>514</v>
      </c>
      <c r="B18" s="13"/>
      <c r="C18" s="6" t="s">
        <v>65</v>
      </c>
    </row>
    <row r="19" spans="1:3" x14ac:dyDescent="0.25">
      <c r="A19" s="13" t="s">
        <v>515</v>
      </c>
      <c r="B19" s="13" t="s">
        <v>516</v>
      </c>
      <c r="C19" s="6" t="s">
        <v>65</v>
      </c>
    </row>
    <row r="20" spans="1:3" x14ac:dyDescent="0.25">
      <c r="A20" s="13" t="s">
        <v>517</v>
      </c>
      <c r="B20" s="13" t="s">
        <v>518</v>
      </c>
      <c r="C20" s="6" t="s">
        <v>65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1" width="16" customWidth="1"/>
    <col min="2" max="2" width="26" customWidth="1"/>
    <col min="3" max="3" width="30" customWidth="1"/>
    <col min="4" max="4" width="34" customWidth="1"/>
    <col min="5" max="5" width="30" customWidth="1"/>
  </cols>
  <sheetData>
    <row r="1" ht="30" customHeight="1" spans="1:5" x14ac:dyDescent="0.25">
      <c r="A1" s="4" t="s">
        <v>519</v>
      </c>
      <c r="B1" s="18" t="s">
        <v>520</v>
      </c>
      <c r="C1" s="19" t="s">
        <v>521</v>
      </c>
      <c r="D1" s="20" t="s">
        <v>522</v>
      </c>
      <c r="E1" s="4" t="s">
        <v>523</v>
      </c>
    </row>
    <row r="2" spans="1:5" x14ac:dyDescent="0.25">
      <c r="A2" s="6" t="s">
        <v>524</v>
      </c>
      <c r="B2" s="6" t="s">
        <v>525</v>
      </c>
      <c r="C2" s="6" t="s">
        <v>526</v>
      </c>
      <c r="D2" s="6" t="s">
        <v>527</v>
      </c>
      <c r="E2" s="6" t="s">
        <v>528</v>
      </c>
    </row>
    <row r="3" spans="1:5" x14ac:dyDescent="0.25">
      <c r="A3" s="6" t="s">
        <v>8</v>
      </c>
      <c r="B3" s="6" t="s">
        <v>529</v>
      </c>
      <c r="C3" s="6" t="s">
        <v>530</v>
      </c>
      <c r="D3" s="6" t="s">
        <v>531</v>
      </c>
      <c r="E3" s="6" t="s">
        <v>532</v>
      </c>
    </row>
    <row r="4" spans="1:5" x14ac:dyDescent="0.25">
      <c r="A4" s="6" t="s">
        <v>533</v>
      </c>
      <c r="B4" s="6" t="s">
        <v>534</v>
      </c>
      <c r="C4" s="6" t="s">
        <v>535</v>
      </c>
      <c r="D4" s="6" t="s">
        <v>536</v>
      </c>
      <c r="E4" s="6" t="s">
        <v>532</v>
      </c>
    </row>
    <row r="5" spans="1:5" x14ac:dyDescent="0.25">
      <c r="A5" s="6" t="s">
        <v>537</v>
      </c>
      <c r="B5" s="6" t="s">
        <v>538</v>
      </c>
      <c r="C5" s="6" t="s">
        <v>539</v>
      </c>
      <c r="D5" s="6" t="s">
        <v>540</v>
      </c>
      <c r="E5" s="6" t="s">
        <v>532</v>
      </c>
    </row>
    <row r="6" spans="1:5" x14ac:dyDescent="0.25">
      <c r="A6" s="6" t="s">
        <v>541</v>
      </c>
      <c r="B6" s="6" t="s">
        <v>542</v>
      </c>
      <c r="C6" s="6" t="s">
        <v>543</v>
      </c>
      <c r="D6" s="6" t="s">
        <v>544</v>
      </c>
      <c r="E6" s="6" t="s">
        <v>532</v>
      </c>
    </row>
    <row r="7" spans="1:5" x14ac:dyDescent="0.25">
      <c r="A7" s="6" t="s">
        <v>545</v>
      </c>
      <c r="B7" s="6" t="s">
        <v>546</v>
      </c>
      <c r="C7" s="6" t="s">
        <v>547</v>
      </c>
      <c r="D7" s="6" t="s">
        <v>548</v>
      </c>
      <c r="E7" s="6" t="s">
        <v>549</v>
      </c>
    </row>
    <row r="8" spans="1:5" x14ac:dyDescent="0.25">
      <c r="A8" s="6" t="s">
        <v>13</v>
      </c>
      <c r="B8" s="6" t="s">
        <v>550</v>
      </c>
      <c r="C8" s="6" t="s">
        <v>551</v>
      </c>
      <c r="D8" s="6" t="s">
        <v>552</v>
      </c>
      <c r="E8" s="6" t="s">
        <v>553</v>
      </c>
    </row>
    <row r="9" spans="1:5" x14ac:dyDescent="0.25">
      <c r="A9" s="6" t="s">
        <v>14</v>
      </c>
      <c r="B9" s="6" t="s">
        <v>554</v>
      </c>
      <c r="C9" s="6" t="s">
        <v>555</v>
      </c>
      <c r="D9" s="6" t="s">
        <v>556</v>
      </c>
      <c r="E9" s="6" t="s">
        <v>557</v>
      </c>
    </row>
    <row r="10" spans="1:5" x14ac:dyDescent="0.25">
      <c r="A10" s="6" t="s">
        <v>558</v>
      </c>
      <c r="B10" s="6" t="s">
        <v>559</v>
      </c>
      <c r="C10" s="6" t="s">
        <v>560</v>
      </c>
      <c r="D10" s="6" t="s">
        <v>561</v>
      </c>
      <c r="E10" s="6" t="s">
        <v>562</v>
      </c>
    </row>
    <row r="12" spans="1:1" x14ac:dyDescent="0.25">
      <c r="A12" s="21" t="s">
        <v>563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Candidates</vt:lpstr>
      <vt:lpstr>Score reasons</vt:lpstr>
      <vt:lpstr>Gated out</vt:lpstr>
      <vt:lpstr>Summary</vt:lpstr>
      <vt:lpstr>Rubric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opportunity-finder scout</dc:creator>
  <dc:title/>
  <dc:subject/>
  <dc:description/>
  <cp:keywords/>
  <cp:category/>
  <cp:lastModifiedBy>Unknown</cp:lastModifiedBy>
  <dcterms:created xsi:type="dcterms:W3CDTF">2026-10-04T21:49:50Z</dcterms:created>
  <dcterms:modified xsi:type="dcterms:W3CDTF">2026-10-04T21:49:50Z</dcterms:modified>
</cp:coreProperties>
</file>