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Candidates" state="visible" r:id="rId4"/>
    <sheet sheetId="2" name="Score reasons" state="visible" r:id="rId5"/>
    <sheet sheetId="3" name="Gated out" state="visible" r:id="rId6"/>
    <sheet sheetId="4" name="Summary" state="visible" r:id="rId7"/>
    <sheet sheetId="5" name="Rubric" state="visible" r:id="rId8"/>
  </sheets>
  <calcPr calcId="171027" fullCalcOnLoad="1"/>
</workbook>
</file>

<file path=xl/sharedStrings.xml><?xml version="1.0" encoding="utf-8"?>
<sst xmlns="http://schemas.openxmlformats.org/spreadsheetml/2006/main" count="2984" uniqueCount="1425">
  <si>
    <t>Phase 0 candidates</t>
  </si>
  <si>
    <t>You can edit the score columns (1–3), Pursue? and Notes (light blue). Total, Band, and the Summary sheet recalculate. Example: Pursue? = maybe, Notes = "talk to 2 bookkeepers before deciding". Grey columns are the scout's original output for comparison. Scorer v2 rows (Buyer filled in): Total leaves out Freq (popularity only) and any "unsupported" score (its quote was not found in the post); Band is Shortlist when all four gates pass, ranked by Total.</t>
  </si>
  <si>
    <t>Colors: higher is better. Green = good (score 3, Total 15+, Shortlist). Yellow = neutral (score 2, Total 10–14). Red = weak (score 1, Total under 10, Drop).</t>
  </si>
  <si>
    <t>#</t>
  </si>
  <si>
    <t>Source</t>
  </si>
  <si>
    <t>Problem</t>
  </si>
  <si>
    <t>Link</t>
  </si>
  <si>
    <t>Freq</t>
  </si>
  <si>
    <t>Pain</t>
  </si>
  <si>
    <t>Messy</t>
  </si>
  <si>
    <t>Backend</t>
  </si>
  <si>
    <t>Reach</t>
  </si>
  <si>
    <t>Buyer</t>
  </si>
  <si>
    <t>Free data</t>
  </si>
  <si>
    <t>Total</t>
  </si>
  <si>
    <t>Band</t>
  </si>
  <si>
    <t>Pursue?</t>
  </si>
  <si>
    <t>Notes</t>
  </si>
  <si>
    <t>Scores changed</t>
  </si>
  <si>
    <t>Scout total</t>
  </si>
  <si>
    <t>Rules-only total</t>
  </si>
  <si>
    <t>Rules-only rank</t>
  </si>
  <si>
    <t>G1 current</t>
  </si>
  <si>
    <t>G2 need</t>
  </si>
  <si>
    <t>G3 not trivial</t>
  </si>
  <si>
    <t>G4 author has it</t>
  </si>
  <si>
    <t>Evidence (valid quotes)</t>
  </si>
  <si>
    <t>Popularity (comments)</t>
  </si>
  <si>
    <t>Original title</t>
  </si>
  <si>
    <t>City contracts</t>
  </si>
  <si>
    <t>City clerk staff managing legislative document intake and tracking for city council.</t>
  </si>
  <si>
    <t>open</t>
  </si>
  <si>
    <t>pass</t>
  </si>
  <si>
    <t>9/9</t>
  </si>
  <si>
    <t>[Chicago · OFFICE OF CITY CLERK] TECHNOLOGY AND SERVICES RELATING TO THE LEGISLATIVE MANAGEMENT DOCUMENT INTAKE SYSTEM WITH</t>
  </si>
  <si>
    <t>City fleet management staff coordinating vehicle maintenance, repair and upfit work.</t>
  </si>
  <si>
    <t>[Chicago · DEPT OF FLEET MGMT] MAINTENANCE, REPAIR AND UPFIT FOR CITY-OWNED VEHICLES AND EQUIPMENT</t>
  </si>
  <si>
    <t>City HR department needs employee selection tests developed and exams administered securely.</t>
  </si>
  <si>
    <t>[Chicago · DEPARTMENT OF HUMAN RESOURCES] MASTER CONSULTING AGREEMENT FOR HUMAN RESOURCE TESTING SERVICES- CATEGORY 1: DEVELOPMENT OF</t>
  </si>
  <si>
    <t>Chicago Streets and Sanitation staff managing impound facilities, boot releases, and towing operations.</t>
  </si>
  <si>
    <t>[Chicago · DEPARTMENT OF STREETS AND SANITATION] (TRANSFER FROM PO 34921) IMPOUND FACILITY MANAGEMENT, BOOT RELEASE, TOWING AND RELATED</t>
  </si>
  <si>
    <t>City fleet management staff maintaining and repairing city-owned vehicles and equipment.</t>
  </si>
  <si>
    <t>City departments needing physical records storage and records management services.</t>
  </si>
  <si>
    <t>[Chicago · DEPARTMENT OF FLEET AND FACILITY MANAGEMENT] RECORDS STORAGE AND RELATED RECORDS MANAGEMENT SERVICES- CITY OF CHICAGO</t>
  </si>
  <si>
    <t>City HR staff needing background checks on job candidates before hiring</t>
  </si>
  <si>
    <t>[Chicago · ] CANDIDATE BACKGROUND INVESTIGATION &amp; REPORTING SERVICES SCOPE CHANGE</t>
  </si>
  <si>
    <t>City facility managers needing outsourced real estate property management for city-owned properties.</t>
  </si>
  <si>
    <t>[Chicago · DEPARTMENT OF FLEET AND FACILITY MANAGEMENT] TARGET MARKET MASTER CONSULTING AGREEMENT FOR REAL ESTATE PROPERTY MANAGEMENT SERVICES</t>
  </si>
  <si>
    <t>Chicago planning staff evaluating development proposals and managing development projects via consultants.</t>
  </si>
  <si>
    <t>[Chicago · DEPARTMENT OF PLANNING AND DEVELOPMENT] TARGET MARKET PLANNING NOW MASTER CONSULTING AGREEMENT- CATEGORY 2: EVALUATE REAL ESTATE</t>
  </si>
  <si>
    <t>City planning department staff evaluating development proposals and supporting TIF districts via consultants.</t>
  </si>
  <si>
    <t>[Chicago · DEPARTMENT OF PLANNING AND DEVELOPMENT] NON-TARGET MARKET PLANNING NOW SERVICES- CATEGORY 2: EVALUATE REAL ESTATE HOUSING &amp;</t>
  </si>
  <si>
    <t>NYC Finance dept needs outsourced processing, printing and mailing of violation summonses.</t>
  </si>
  <si>
    <t>[New York City · Finance] Data Processing, Printing &amp; Mailing Services for Violation Summonses</t>
  </si>
  <si>
    <t>City facilities staff need witnessed elevator and escalator inspection testing tracked across Manhattan and Bronx buildings.</t>
  </si>
  <si>
    <t>[New York City · Citywide Administrative Services] Third Party Witnessing of Inspections for DLM and CAT 1 and CAT</t>
  </si>
  <si>
    <t>Sanitation department staff tracking fire system and eyewash inspections and repairs at marine transfer stations.</t>
  </si>
  <si>
    <t>[New York City · Sanitation] EH Fire Suppression Renewal 1. Maintenance, Inspection, and Repair Services for the</t>
  </si>
  <si>
    <t>NYC Parks needs ongoing tree pruning work in the Bronx performed by contractors.</t>
  </si>
  <si>
    <t>[New York City · Parks and Recreation] Block Pruning in Bronx. The work to be performed under this contract</t>
  </si>
  <si>
    <t>Chicago aviation department managing airport parking and ground transportation operations at O'Hare.</t>
  </si>
  <si>
    <t>[Chicago · CHICAGO DEPARTMENT OF AVIATION] TRANSFER FROM PO # 174908 for MANAGEMENT OF PUBLIC PARKING FACILITIES AND</t>
  </si>
  <si>
    <t>HN</t>
  </si>
  <si>
    <t>Engineering teams lose decision rationale and make new hires spend weeks reconstructing it</t>
  </si>
  <si>
    <t>How do you capture WHY engineering decisions were made, not just what?</t>
  </si>
  <si>
    <t>Founder manually splits monthly revenue across co-founder, contractors, affiliates, and tax account.</t>
  </si>
  <si>
    <t>Does "Zapier for payment automation" exist?</t>
  </si>
  <si>
    <t>Builders of AI workflows must manually review hallucination-prone generated messages, emails, and invoices before sending.</t>
  </si>
  <si>
    <t>AI hallucinate. Do you ever double check the output?</t>
  </si>
  <si>
    <t>Developers using coding agents are overwhelmed reviewing the large volume of AI-generated PRs.</t>
  </si>
  <si>
    <t>How do you manage PR review fatigue from coding agents?</t>
  </si>
  <si>
    <t>A founder spends 20-40 minutes daily checking many separate apps each morning.</t>
  </si>
  <si>
    <t>How do you manage your morning catch-up routine?</t>
  </si>
  <si>
    <t>Automation builders must manually review LLM outputs for emails, SMS, and invoices due to hallucinations.</t>
  </si>
  <si>
    <t>AI hallucinates. How do you keep it from fucking up automations?</t>
  </si>
  <si>
    <t>Heavy AI tool users re-explain context across Claude, Cursor, ChatGPT, and Perplexity.</t>
  </si>
  <si>
    <t>How do you manage context/memory across multiple AI tools?</t>
  </si>
  <si>
    <t>Developers building multiple AI agents repeat MCP server configs, auth, and dependencies per agent.</t>
  </si>
  <si>
    <t>How do you manage MCP servers across multiple AI agents?</t>
  </si>
  <si>
    <t>Professional with LinkedIn connections lacking emails can't extract them without being flagged as automation.</t>
  </si>
  <si>
    <t>LinkedIn Prevents You from Deplatforming</t>
  </si>
  <si>
    <t>Developer building a browser VoIP platform needs reliable call-state sync and real-time billing.</t>
  </si>
  <si>
    <t>Building CallSpark (browser based VoIP): what I learned and what caused pain</t>
  </si>
  <si>
    <t>Developer building multi-agent systems struggles managing interdependent prompts across six conversing agents.</t>
  </si>
  <si>
    <t>How do you manage your prompts in agent workflows</t>
  </si>
  <si>
    <t>Sysadmin deploying IPv6-only hosts needs transactional email sending that supports IPv6 SMTP.</t>
  </si>
  <si>
    <t>IPv6 capable transactional email senders?</t>
  </si>
  <si>
    <t>USAspending</t>
  </si>
  <si>
    <t>Agencies repeatedly buy "data entry" services</t>
  </si>
  <si>
    <t>n/a</t>
  </si>
  <si>
    <t/>
  </si>
  <si>
    <t>Agencies repeatedly buy "records management" services</t>
  </si>
  <si>
    <t>Agencies repeatedly buy "digitization" services</t>
  </si>
  <si>
    <t>Agencies repeatedly buy "reconciliation" services</t>
  </si>
  <si>
    <t>Agencies repeatedly buy "case management system" services</t>
  </si>
  <si>
    <t>Agencies repeatedly buy "grants management" services</t>
  </si>
  <si>
    <t>Agencies repeatedly buy "data cleansing" services</t>
  </si>
  <si>
    <t>Agencies repeatedly buy "legacy system modernization" services</t>
  </si>
  <si>
    <t>Freq (orig)</t>
  </si>
  <si>
    <t>Freq method</t>
  </si>
  <si>
    <t>Freq reason</t>
  </si>
  <si>
    <t>Pain (orig)</t>
  </si>
  <si>
    <t>Pain method</t>
  </si>
  <si>
    <t>Pain reason</t>
  </si>
  <si>
    <t>Messy (orig)</t>
  </si>
  <si>
    <t>Messy method</t>
  </si>
  <si>
    <t>Messy reason</t>
  </si>
  <si>
    <t>Backend (orig)</t>
  </si>
  <si>
    <t>Backend method</t>
  </si>
  <si>
    <t>Backend reason</t>
  </si>
  <si>
    <t>Reach (orig)</t>
  </si>
  <si>
    <t>Reach method</t>
  </si>
  <si>
    <t>Reach reason</t>
  </si>
  <si>
    <t>Buyer (orig)</t>
  </si>
  <si>
    <t>Buyer method</t>
  </si>
  <si>
    <t>Buyer reason</t>
  </si>
  <si>
    <t>Free data (orig)</t>
  </si>
  <si>
    <t>Free data method</t>
  </si>
  <si>
    <t>Free data reason</t>
  </si>
  <si>
    <t>G1 current result</t>
  </si>
  <si>
    <t>G1 current quote</t>
  </si>
  <si>
    <t>G2 need result</t>
  </si>
  <si>
    <t>G2 need quote</t>
  </si>
  <si>
    <t>G3 not trivial result</t>
  </si>
  <si>
    <t>G3 not trivial quote</t>
  </si>
  <si>
    <t>G4 author has it result</t>
  </si>
  <si>
    <t>G4 author has it quote</t>
  </si>
  <si>
    <t>rule</t>
  </si>
  <si>
    <t>popularity only, not in total: 0 comments</t>
  </si>
  <si>
    <t>claude-sonnet-5-5 (judge-contract-v1)</t>
  </si>
  <si>
    <t>Ongoing maintenance contract of $500,000 implies sustained operational dependence. — "WITH ONGOING UPDATES, MAINTENANCE, AND SUPPORT SPEC 984153"</t>
  </si>
  <si>
    <t>Document intake likely involves varied submissions and formats, but details are unstated. — "LEGISLATIVE MANAGEMENT DOCUMENT INTAKE SYSTEM"</t>
  </si>
  <si>
    <t>Intake system implies ongoing collection, storage, and tracking of legislative documents. — "LEGISLATIVE MANAGEMENT DOCUMENT INTAKE SYSTEM WITH ONGOING UPDATES, MAINTENANCE, AND SUPPORT"</t>
  </si>
  <si>
    <t>City clerks gather in broad associations, but no specific venue is named. — "OFFICE OF CITY CLERK"</t>
  </si>
  <si>
    <t>City already spends $500,000 on this exact problem. — "PRO SERV CONSULTING $250,000orABOVE. Amount: $500,000."</t>
  </si>
  <si>
    <t>public city contract data</t>
  </si>
  <si>
    <t>WITH ONGOING UPDATES, MAINTENANCE, AND SUPPORT SPEC 984153</t>
  </si>
  <si>
    <t>TECHNOLOGY AND SERVICES RELATING TO THE LEGISLATIVE MANAGEMENT DOCUMENT INTAKE SYSTEM</t>
  </si>
  <si>
    <t>No stated pain, hours, dollars, or deadline beyond a generic service category. — "Category: WORK SERVICES / FACILITIES MAINT.. Amount: $0."</t>
  </si>
  <si>
    <t>Fleet work orders typically span varied vehicles, vendors, and records; not stated. — "MAINTENANCE, REPAIR AND UPFIT FOR CITY-OWNED VEHICLES AND EQUIPMENT"</t>
  </si>
  <si>
    <t>Tracking repairs across fleet needs ongoing data collection, matching, and storage. — "MAINTENANCE, REPAIR AND UPFIT FOR CITY-OWNED VEHICLES AND EQUIPMENT"</t>
  </si>
  <si>
    <t>Public fleet managers gather in associations like NAFA and APWA. — "MAINTENANCE, REPAIR AND UPFIT FOR CITY-OWNED VEHICLES AND EQUIPMENT"</t>
  </si>
  <si>
    <t>City fleet department already spends money on maintenance and fleet management. — "MAINTENANCE, REPAIR AND UPFIT FOR CITY-OWNED VEHICLES AND EQUIPMENT"</t>
  </si>
  <si>
    <t>MAINTENANCE, REPAIR AND UPFIT FOR CITY-OWNED VEHICLES AND EQUIPMENT</t>
  </si>
  <si>
    <t>Record states no hours, dollars lost, or deadline pressure, only the contract scope. — "EXAMINATION ADMINISTRATION AND SECURITY"</t>
  </si>
  <si>
    <t>Test content, candidate records, and exam logistics likely span several inconsistent sources. — "DEVELOPMENT OF EMPLOYEE SELECTION TESTS AND ASSESSMENTS"</t>
  </si>
  <si>
    <t>Exam administration needs ongoing candidate data, scoring storage, and security controls. — "EXAMINATION ADMINISTRATION AND SECURITY"</t>
  </si>
  <si>
    <t>Public-sector HR assessment professionals gather in IPAC and similar named associations. — "HUMAN RESOURCE TESTING SERVICES"</t>
  </si>
  <si>
    <t>The department already spends a very large sum on this exact problem. — "Amount: $13,774,300"</t>
  </si>
  <si>
    <t>MASTER CONSULTING AGREEMENT FOR HUMAN RESOURCE TESTING SERVICES- CATEGORY 1: DEVELOPMENT OF EMPLOYEE SELECTION TESTS AND ASSESSMENTS</t>
  </si>
  <si>
    <t>CATEGORY 2: EXAMINATION ADMINISTRATION AND SECURITY</t>
  </si>
  <si>
    <t>DEVELOPMENT OF EMPLOYEE SELECTION TESTS AND ASSESSMENTS</t>
  </si>
  <si>
    <t>MASTER CONSULTING AGREEMENT FOR HUMAN RESOURCE TESTING SERVICES</t>
  </si>
  <si>
    <t>Large spend implies significant operational cost, but no explicit pain stated. — "Amount: $1,603,500."</t>
  </si>
  <si>
    <t>Towing, impound, and boot release likely span several records and handoffs. — "IMPOUND FACILITY MANAGEMENT, BOOT RELEASE, TOWING AND RELATED SERVICES"</t>
  </si>
  <si>
    <t>Vehicle tracking, releases, and payments need ongoing data collection and storage. — "IMPOUND FACILITY MANAGEMENT, BOOT RELEASE, TOWING AND RELATED SERVICES"</t>
  </si>
  <si>
    <t>Towing and impound operators gather in broad trade associations, not one clear place. — "IMPOUND FACILITY MANAGEMENT, BOOT RELEASE, TOWING AND RELATED SERVICES"</t>
  </si>
  <si>
    <t>City department already spends over a million dollars on this problem. — "Amount: $1,603,500."</t>
  </si>
  <si>
    <t>IMPOUND FACILITY MANAGEMENT, BOOT RELEASE, TOWING AND RELATED SERVICES</t>
  </si>
  <si>
    <t>PRO SERV CONSULTING $250,000orABOVE</t>
  </si>
  <si>
    <t>DEPARTMENT OF STREETS AND SANITATION</t>
  </si>
  <si>
    <t>Record states no hours, dollars, or deadlines, only a service category. — "MAINTENANCE, REPAIR AND UPFIT FOR CITY-OWNED VEHICLES AND EQUIPMENT"</t>
  </si>
  <si>
    <t>Fleet maintenance likely involves varied vehicle records, but nothing is stated. — "MAINTENANCE, REPAIR AND UPFIT FOR CITY-OWNED VEHICLES AND EQUIPMENT"</t>
  </si>
  <si>
    <t>Work orders and repair tracking would need some data matching and storage. — "MAINTENANCE, REPAIR AND UPFIT FOR CITY-OWNED VEHICLES AND EQUIPMENT"</t>
  </si>
  <si>
    <t>Fleet managers gather in known groups like NAFA and government fleet associations. — "Chicago · DEPT OF FLEET MGMT"</t>
  </si>
  <si>
    <t>A city fleet department already spends money on maintenance services. — "Chicago · DEPT OF FLEET MGMT"</t>
  </si>
  <si>
    <t>Chicago · DEPT OF FLEET MGMT</t>
  </si>
  <si>
    <t>Large contract amount implies significant ongoing cost for records handling. — "Category: PRO SERV CONSULTING $250,000orABOVE. Amount: $1,498,000."</t>
  </si>
  <si>
    <t>Records across departments likely inconsistent; record gives no detail. — "RECORDS STORAGE AND RELATED RECORDS MANAGEMENT SERVICES- CITY OF CHICAGO"</t>
  </si>
  <si>
    <t>Likely needs indexing and retrieval tracking of stored records. — "RECORDS STORAGE AND RELATED RECORDS MANAGEMENT SERVICES- CITY OF CHICAGO"</t>
  </si>
  <si>
    <t>Records managers gather in broad associations like ARMA, not specific to this. — "RECORDS STORAGE AND RELATED RECORDS MANAGEMENT SERVICES- CITY OF CHICAGO"</t>
  </si>
  <si>
    <t>City already spends over a million dollars on this problem. — "Category: PRO SERV CONSULTING $250,000orABOVE. Amount: $1,498,000."</t>
  </si>
  <si>
    <t>RECORDS STORAGE AND RELATED RECORDS MANAGEMENT SERVICES- CITY OF CHICAGO</t>
  </si>
  <si>
    <t>Record states no time, dollar loss, or deadline; only a scope change. — "Category: PRO SERV CONSULTING $250,000orABOVE. Amount: $0."</t>
  </si>
  <si>
    <t>Background checks pull from multiple external sources, but the record gives no detail. — "CANDIDATE BACKGROUND INVESTIGATION &amp; REPORTING SERVICES SCOPE CHANGE"</t>
  </si>
  <si>
    <t>Likely needs importing and matching of candidate records and reports. — "CANDIDATE BACKGROUND INVESTIGATION &amp; REPORTING SERVICES SCOPE CHANGE"</t>
  </si>
  <si>
    <t>HR and public-sector hiring professionals gather in known groups like IPMA-HR. — "CANDIDATE BACKGROUND INVESTIGATION &amp; REPORTING SERVICES SCOPE CHANGE"</t>
  </si>
  <si>
    <t>City already spends over $250,000 on this professional service category. — "Category: PRO SERV CONSULTING $250,000orABOVE. Amount: $0."</t>
  </si>
  <si>
    <t>CANDIDATE BACKGROUND INVESTIGATION &amp; REPORTING SERVICES SCOPE CHANGE</t>
  </si>
  <si>
    <t>Record gives no stated hours, losses, or deadlines; only contract category. — "Category: PRO SERV CONSULTING $250,000orABOVE. Amount: $0."</t>
  </si>
  <si>
    <t>No mention of inconsistent data or multiple systems. — "REAL ESTATE PROPERTY MANAGEMENT SERVICES"</t>
  </si>
  <si>
    <t>Property management implies tracking leases and properties, but details are absent. — "REAL ESTATE PROPERTY MANAGEMENT SERVICES"</t>
  </si>
  <si>
    <t>Property managers gather in specific trade groups like IREM and BOMA. — "REAL ESTATE PROPERTY MANAGEMENT SERVICES"</t>
  </si>
  <si>
    <t>Department already spends on this via a large consulting agreement. — "Category: PRO SERV CONSULTING $250,000orABOVE."</t>
  </si>
  <si>
    <t>MASTER CONSULTING AGREEMENT FOR REAL ESTATE PROPERTY MANAGEMENT SERVICES</t>
  </si>
  <si>
    <t>CONSULTING AGREEMENT FOR REAL ESTATE PROPERTY MANAGEMENT SERVICES</t>
  </si>
  <si>
    <t>DEPARTMENT OF FLEET AND FACILITY MANAGEMENT] TARGET MARKET MASTER CONSULTING AGREEMENT</t>
  </si>
  <si>
    <t>No stated hours, dollars lost, or deadline; just a consulting agreement. — "Category: PRO SERV CONSULTING $250,000orABOVE. Amount: $0."</t>
  </si>
  <si>
    <t>Proposals and impact studies likely come from varied, inconsistent sources. — "EVALUATE REAL ESTATE HOUSING &amp; ECONOMIC DEVELOPMENT PROPOSALS &amp; STUDY ECONOMIC IMPACTS"</t>
  </si>
  <si>
    <t>Project management and proposal evaluation need some data tracking and matching. — "PREPARE &amp; MANAGE DEVELOPMENT PROJECTS"</t>
  </si>
  <si>
    <t>City planners and economic development staff gather in broad professional communities. — "DEPARTMENT OF PLANNING AND DEVELOPMENT"</t>
  </si>
  <si>
    <t>Department already spends large sums on consulting for this work. — "Category: PRO SERV CONSULTING $250,000orABOVE."</t>
  </si>
  <si>
    <t>CATEGORY 2: EVALUATE REAL ESTATE HOUSING &amp; ECONOMIC DEVELOPMENT PROPOSALS &amp; STUDY ECONOMIC IMPACTS, &amp; 3: PREPARE &amp; MANAGE DEVELOPMENT PROJECTS</t>
  </si>
  <si>
    <t>EVALUATE REAL ESTATE HOUSING &amp; ECONOMIC DEVELOPMENT PROPOSALS &amp; STUDY ECONOMIC IMPACTS</t>
  </si>
  <si>
    <t>PREPARE &amp; MANAGE DEVELOPMENT PROJECTS</t>
  </si>
  <si>
    <t>[Chicago · DEPARTMENT OF PLANNING AND DEVELOPMENT] TARGET MARKET PLANNING NOW MASTER CONSULTING AGREEMENT</t>
  </si>
  <si>
    <t>No stated hours, dollars, or deadlines; just a consulting category description. — "CATEGORY 7: SUPPORT TAX INCREMENT FINANCING (TIF) DISTRICTS"</t>
  </si>
  <si>
    <t>Proposals and impact studies likely involve varied, inconsistent data sources. — "EVALUATE REAL ESTATE HOUSING &amp; ECONOMIC DEVELOPMENT PROPOSALS &amp; STUDY ECONOMIC IMPACTS"</t>
  </si>
  <si>
    <t>TIF tracking needs some data importing and matching, not ongoing heavy collection. — "CATEGORY 7: SUPPORT TAX INCREMENT FINANCING (TIF) DISTRICTS"</t>
  </si>
  <si>
    <t>Municipal planners and economic developers gather in broad professional communities like APA. — "CATEGORY 7: SUPPORT TAX INCREMENT FINANCING (TIF) DISTRICTS"</t>
  </si>
  <si>
    <t>Department already spends significant money on consulting for this problem. — "Category: PRO SERV CONSULTING $250,000orABOVE."</t>
  </si>
  <si>
    <t>CATEGORY 2: EVALUATE REAL ESTATE HOUSING &amp; ECONOMIC DEVELOPMENT PROPOSALS &amp; STUDY ECONOMIC IMPACTS;</t>
  </si>
  <si>
    <t>CATEGORY 7: SUPPORT TAX INCREMENT FINANCING (TIF) DISTRICTS</t>
  </si>
  <si>
    <t>NON-TARGET MARKET PLANNING NOW SERVICES- CATEGORY 2: EVALUATE REAL ESTATE HOUSING &amp; ECONOMIC DEVELOPMENT PROPOSALS</t>
  </si>
  <si>
    <t>Large contract value implies significant ongoing cost and volume. — "Amount: $12,166,514."</t>
  </si>
  <si>
    <t>Summons data likely comes from multiple issuing agencies with varying formats. — "Data Processing, Printing &amp; Mailing Services for Violation Summonses"</t>
  </si>
  <si>
    <t>Needs ongoing data intake, processing, storage, and mail fulfillment tracking. — "Data Processing, Printing &amp; Mailing Services for Violation Summonses"</t>
  </si>
  <si>
    <t>Few buyers; unclear where to find peers; large municipal procurement. — "Category: Services (other than human services), Competitive Sealed Bids."</t>
  </si>
  <si>
    <t>City already spends heavily, but via formal bidding, hard for small vendors. — "Competitive Sealed Bids. Amount: $12,166,514."</t>
  </si>
  <si>
    <t>Data Processing, Printing &amp; Mailing Services for Violation Summonses</t>
  </si>
  <si>
    <t>Only a renewal amount is stated; no pain described. — "Category: Services (other than human services), Renewal. Amount: $382,932. Date: 2026-09-21."</t>
  </si>
  <si>
    <t>Inspection records across many buildings and test categories likely vary. — "Third Party Witnessing of Inspections for DLM and CAT 1 and CAT 5 Testing of Conveyance Systems,"</t>
  </si>
  <si>
    <t>Scheduling, results tracking, and compliance records across boroughs need storage and matching. — "Service Option 1: Manhattan the Bronx"</t>
  </si>
  <si>
    <t>Elevator inspection professionals form broad trade communities, not one specific place. — "Testing of Conveyance Systems, Service Option 1: Manhattan the Bronx"</t>
  </si>
  <si>
    <t>City already spends substantial money renewing this inspection service. — "Category: Services (other than human services), Renewal. Amount: $382,932."</t>
  </si>
  <si>
    <t>Third Party Witnessing of Inspections for DLM and CAT 1 and CAT 5 Testing of Conveyance Systems,</t>
  </si>
  <si>
    <t>Routine renewal; no stated time or money loss from a problem. — "EH Fire Suppression Renewal 1. Maintenance, Inspection, and Repair Services for the"</t>
  </si>
  <si>
    <t>Inspection records are likely tidy, single-source schedules. — "Maintenance, Inspection, and Repair Services for the Fire Protection Systems &amp; Emergency Eye Wash &amp; Showers"</t>
  </si>
  <si>
    <t>Needs inspection schedules and repair logs stored and tracked over time. — "Maintenance, Inspection, and Repair Services for the Fire Protection Systems &amp; Emergency Eye Wash &amp; Showers"</t>
  </si>
  <si>
    <t>Facilities and safety managers gather in broad professional communities, nothing specific named. — "Maintenance, Inspection, and Repair Services for the Fire Protection Systems &amp; Emergency Eye Wash &amp; Showers"</t>
  </si>
  <si>
    <t>Department already spends $600,000 on this service. — "Category: Services (other than human services), Renewal. Amount: $600,000."</t>
  </si>
  <si>
    <t>Maintenance, Inspection, and Repair Services for the Fire Protection Systems &amp; Emergency Eye Wash &amp; Showers at DSNY Marine Transfer Stations</t>
  </si>
  <si>
    <t>Maintenance, Inspection, and Repair Services for the Fire Protection Systems &amp; Emergency Eye Wash &amp; Showers</t>
  </si>
  <si>
    <t>Fire Protection Systems &amp; Emergency Eye Wash &amp; Showers at DSNY Marine Transfer Stations</t>
  </si>
  <si>
    <t>Large recurring field operation, but no stated pain or deadline. — "complete pruning of street and parkland trees in the borough of Bronx"</t>
  </si>
  <si>
    <t>Physical labor contract; record shows no data inconsistency. — "furnishing all labor, materials, travel time, equipment, and all other work incidental thereto"</t>
  </si>
  <si>
    <t>Contract is for field labor, not software or data systems. — "furnishing all labor, materials, travel time, equipment, and all other work incidental thereto"</t>
  </si>
  <si>
    <t>Urban forestry managers gather in broad trade communities, not specific known places. — "complete pruning of street and parkland trees in the borough of Bronx"</t>
  </si>
  <si>
    <t>City spends heavily on tree care, but on labor, not software. — "Services (other than human services), Competitive Sealed Bids. Amount: $6,298,170."</t>
  </si>
  <si>
    <t>provide the complete pruning of street and parkland trees in the borough of Bronx for the City of New York</t>
  </si>
  <si>
    <t>necessary or required to provide the complete pruning of street and parkland trees in the borough of Bronx</t>
  </si>
  <si>
    <t>furnishing all labor, materials, travel time, equipment, and all other work incidental thereto</t>
  </si>
  <si>
    <t>for the City of New York Parks &amp; Recreation (Agency)</t>
  </si>
  <si>
    <t>Administrative PO transfer with $0 amount; no pain stated. — "TRANSFER FROM PO # 174908 for MANAGEMENT OF PUBLIC PARKING FACILITIES AND"</t>
  </si>
  <si>
    <t>No data issues described in the record. — "Category: PRO SERV-AVIATION. Amount: $0."</t>
  </si>
  <si>
    <t>Parking management implies ongoing data collection, but unspecified. — "MANAGEMENT OF PUBLIC PARKING FACILITIES AND GROUND TRANSPORTATION AT CHICAGO O'HARE INTL AIRPORT"</t>
  </si>
  <si>
    <t>Airport parking operators gather in broad industry associations. — "MANAGEMENT OF PUBLIC PARKING FACILITIES AND GROUND TRANSPORTATION AT CHICAGO O'HARE INTL AIRPORT"</t>
  </si>
  <si>
    <t>Department already contracts for this service, but it is outsourced management. — "Category: PRO SERV-AVIATION. Amount: $0."</t>
  </si>
  <si>
    <t>MANAGEMENT OF PUBLIC PARKING FACILITIES AND GROUND TRANSPORTATION AT CHICAGO O'HARE INTL AIRPORT</t>
  </si>
  <si>
    <t>popularity only, not in total: 64 comments</t>
  </si>
  <si>
    <t>claude-sonnet-5-5 (judge-v2.1)</t>
  </si>
  <si>
    <t>Three weeks of senior engineer time lost per onboarding, stated explicitly. — "He spent 3 weeks playing code archaeologist just to understand WHY our codebase looks the way it does."</t>
  </si>
  <si>
    <t>Rationale scattered across PRs, Slack, docs, and departed engineers' memories. — "Answers were buried in closed PRs with no descriptions, 18-month-old Slack threads, and the heads of two engineers who left last year."</t>
  </si>
  <si>
    <t>Needs ongoing automated capture, linking, and storage across multiple tools. — "Every solution requires someone to manually write something. Nobody does."</t>
  </si>
  <si>
    <t>Engineering managers and platform teams gather on Hacker News, r/ExperiencedDevs, and similar places. — "Curious how teams at HN actually handle this"</t>
  </si>
  <si>
    <t>Engineering teams already pay for dev tooling, but no explicit budget is mentioned. — "We tried ADRs. Lasted 6 weeks. Nobody maintained them."</t>
  </si>
  <si>
    <t>default: unknown, assume partly public</t>
  </si>
  <si>
    <t>He spent 3 weeks playing code archaeologist just to understand WHY our codebase looks the way it does.</t>
  </si>
  <si>
    <t>Curious how teams at HN actually handle this: 1. Do you have a system that actually works long-term?</t>
  </si>
  <si>
    <t>Every solution requires someone to manually write something. Nobody does.</t>
  </si>
  <si>
    <t>We onboarded a senior engineer recently strong, 8 years experience.</t>
  </si>
  <si>
    <t>popularity only, not in total: 18 comments</t>
  </si>
  <si>
    <t>States 3 hours monthly and $15K revenue being manually distributed. — "I shouldn't spend 3 hours every month manually splitting $15K revenue:"</t>
  </si>
  <si>
    <t>Many payees with varying percentages, but rules are fairly regular. — "10% across 3 contractors • 5-10% to ~15 affiliates • 30% to tax account"</t>
  </si>
  <si>
    <t>Needs ongoing rule storage, payout calculation, and actual money movement with compliance. — "Set rules once → money routes automatically each month."</t>
  </si>
  <si>
    <t>Founders and small online businesses are broad communities; author already reached 20. — "I've talked to ~20 founders. Most are either:"</t>
  </si>
  <si>
    <t>Small founders with real revenue already spend on accountants and would pay. — "Paying accountants (expensive, still manual) - Suffering through manual transfers (time sink)"</t>
  </si>
  <si>
    <t>I shouldn't spend 3 hours every month manually splitting $15K revenue:</t>
  </si>
  <si>
    <t xml:space="preserve">Set rules once → money routes automatically each month.
Questions:
1. Does this exist?</t>
  </si>
  <si>
    <t>Stripe Connect: Only splits to one account - Zapier: Can't actually move money (ToS restriction)</t>
  </si>
  <si>
    <t>popularity only, not in total: 21 comments</t>
  </si>
  <si>
    <t>Manual review of all outputs implies ongoing lost time, but no figures stated. — "so I end up manually checking everything anyway to approve the AI generated content"</t>
  </si>
  <si>
    <t>Multiple output types across channels, but no mention of conflicting data sources. — "AI generated content (messages, emails, invoices,ecc.)"</t>
  </si>
  <si>
    <t>Verification layer needs ongoing capture, checking, approval tracking, and storage across workflows. — "Been building AI workflows and then randomly hallucinate and do something stupid"</t>
  </si>
  <si>
    <t>AI automation builders gather in specific communities like n8n, Make, and LLM subreddits. — "Been building AI workflows and then randomly hallucinate and do something stupid"</t>
  </si>
  <si>
    <t>Invoices and emails suggest business use; likely small teams or freelancers paying for tools. — "AI generated content (messages, emails, invoices,ecc.)"</t>
  </si>
  <si>
    <t>Been building AI workflows and then randomly hallucinate and do something stupid so I end up manually checking everything anyway</t>
  </si>
  <si>
    <t>Anyone else? How did you manage it?</t>
  </si>
  <si>
    <t>I end up manually checking everything anyway to approve the AI generated content</t>
  </si>
  <si>
    <t>popularity only, not in total: 1 comments</t>
  </si>
  <si>
    <t>Implies lost time and throughput but no stated hours or dollars. — "the review process has become a severe bottleneck to me"</t>
  </si>
  <si>
    <t>Review involves varied judgment criteria and PR sources, not one tidy data source. — "ensure architectural alignment, verify logic, etc."</t>
  </si>
  <si>
    <t>Ongoing PR ingestion, analysis, and storage across repos would be needed. — "Any insights on scaling the human review process to sustainably match agent throughput?"</t>
  </si>
  <si>
    <t>Developers using coding agents gather in specific communities like Hacker News and subreddits. — "I have used coding agents a lot in my work."</t>
  </si>
  <si>
    <t>Dev teams pay for tools, though this author sounds like an individual. — "I have used coding agents a lot in my work."</t>
  </si>
  <si>
    <t xml:space="preserve">the review process has become a severe bottleneck to me. The agents are producing a massive volume of PR.
</t>
  </si>
  <si>
    <t>Any insights on scaling the human review process to sustainably match agent throughput?</t>
  </si>
  <si>
    <t>Reviewing this amount of AI-generated code requires deep cognitive effort to ensure architectural alignment, verify logic</t>
  </si>
  <si>
    <t>I have used coding agents a lot in my work.</t>
  </si>
  <si>
    <t>popularity only, not in total: 4 comments</t>
  </si>
  <si>
    <t xml:space="preserve">Daily recurring time loss stated, but author calls it not hard work. — "Every day I spend 20-40 minutes just to check dozens of apps.
"</t>
  </si>
  <si>
    <t>Many unrelated systems with different data formats and APIs. — "Github commits, Discord community, insta cofounder messages, Stripe payments, and so on..."</t>
  </si>
  <si>
    <t>Needs ongoing integrations pulling data from multiple services and storing it. — "Github commits, Discord community, insta cofounder messages, Stripe payments, and so on..."</t>
  </si>
  <si>
    <t>Startup founders and indie hackers gather in broad communities. — "Curious how others handle this. Do you have a system? An app?"</t>
  </si>
  <si>
    <t>Founder with a business likely pays for tools, but pain is mild. — "Github commits, Discord community, insta cofounder messages, Stripe payments, and so on..."</t>
  </si>
  <si>
    <t xml:space="preserve">Every day I spend 20-40 minutes just to check dozens of apps.
</t>
  </si>
  <si>
    <t>Curious how others handle this. Do you have a system? An app?</t>
  </si>
  <si>
    <t>Github commits, Discord community, insta cofounder messages, Stripe payments, and so on...</t>
  </si>
  <si>
    <t>popularity only, not in total: 5 comments</t>
  </si>
  <si>
    <t>Manual review wipes out automation time savings, but no figures given. — "At the end of the day I still have to manually review critical actions"</t>
  </si>
  <si>
    <t>Multiple output channels and varied LLM outputs to validate. — "critical actions (emails, sms, invoices...)"</t>
  </si>
  <si>
    <t>Needs validation and approval layer across several action types. — "I still have to manually review critical actions (emails, sms, invoices...)"</t>
  </si>
  <si>
    <t>Automation builders gather in n8n, Zapier, and Make communities. — "Every time I build simple automations LLMs find a way to screw up something."</t>
  </si>
  <si>
    <t>Likely a freelancer or small team already paying for automation tools. — "Why bother automating then?"</t>
  </si>
  <si>
    <t>Every time I build simple automations LLMs find a way to screw up something.</t>
  </si>
  <si>
    <t>How do you manage it?</t>
  </si>
  <si>
    <t>At the end of the day I still have to manually review critical actions</t>
  </si>
  <si>
    <t>At the end of the day I still have to manually review critical actions (emails, sms, invoices...).</t>
  </si>
  <si>
    <t>Repeated re-explaining is annoying but no hours or dollars are stated. — "I find myself re-explaining the same context repeatedly, or copy-pasting from Notion docs."</t>
  </si>
  <si>
    <t>Context is scattered across four separate AI tools plus Notion docs. — "I use Claude for some tasks, Cursor for coding, ChatGPT for research, and Perplexity for quick lookups."</t>
  </si>
  <si>
    <t>Needs ongoing context capture, sync, and storage across tools and users. — "multiple people need to access the same knowledge base across different AI sessions."</t>
  </si>
  <si>
    <t>Heavy AI users gather in broad communities, not one specific place. — "For those of you heavily using AI tools:"</t>
  </si>
  <si>
    <t>Individual power users and small teams already pay for AI tools. — "Especially interested in hearing from teams where multiple people need to access the same knowledge base"</t>
  </si>
  <si>
    <t>none of them know what I've discussed with the others. I find myself re-explaining the same context repeatedly</t>
  </si>
  <si>
    <t>How are you managing shared context across tools?</t>
  </si>
  <si>
    <t>I find myself re-explaining the same context repeatedly, or copy-pasting from Notion docs.</t>
  </si>
  <si>
    <t>I use Claude for some tasks, Cursor for coding, ChatGPT for research, and Perplexity for quick lookups.</t>
  </si>
  <si>
    <t>Repetitive setup annoyance; no stated hours, dollars, or deadlines. — "I'm recreating the same MCP server configs, dealing with auth, and managing dependencies separately for each agent."</t>
  </si>
  <si>
    <t>Multiple frameworks, differing Python versions, and separate credentials that do not line up. — "I've been building AI agents in LangChain, n8n, and some custom Python scripts."</t>
  </si>
  <si>
    <t>Needs a central registry, credential storage, and call observability across agents. — "I started building a private registry to centralize this"</t>
  </si>
  <si>
    <t>AI agent developers gather in broad communities like LangChain and n8n forums. — "I've been building AI agents in LangChain, n8n, and some custom Python scripts."</t>
  </si>
  <si>
    <t>Individual developer or small team; might pay for dev tooling but budget unclear. — "I started building a private registry to centralize this"</t>
  </si>
  <si>
    <t>I'm recreating the same MCP server configs, dealing with auth, and managing dependencies separately for each agent.</t>
  </si>
  <si>
    <t>How do you manage credentials and configs across frameworks?</t>
  </si>
  <si>
    <t>Do you have observability into which agent is calling which tool?</t>
  </si>
  <si>
    <t>Each time I need to connect tools (Slack, GitHub, etc.), I'm recreating the same MCP server configs</t>
  </si>
  <si>
    <t>popularity only, not in total: 46 comments</t>
  </si>
  <si>
    <t>Hour of manual work blocked; outreach plans delayed, but no dollar figure. — "After I spend an hour and got about 200 contacts, I got a warning"</t>
  </si>
  <si>
    <t>Mostly missing email data, manually filled into a spreadsheet. — "I realized that 95% of all the contacts did not have emails."</t>
  </si>
  <si>
    <t>Needs enrichment and matching of contacts to emails, plus storage. — "go through each profile sequentially and look at the contact info and get the email"</t>
  </si>
  <si>
    <t>LinkedIn power users and sales prospectors are a broad but findable community. — "I have a good set of contacts on LinkedIn that I want to be able to segment"</t>
  </si>
  <si>
    <t>Likely a professional or small business doing outreach; plausibly pays for tools. — "I want to be able to segment and reach out to this year."</t>
  </si>
  <si>
    <t>95% of all the contacts did not have emails." So I then decided to go through each profile sequentially</t>
  </si>
  <si>
    <t>Has anyone else experienced this? Is there a solution?</t>
  </si>
  <si>
    <t>I have a good set of contacts on LinkedIn that I want to be able to segment and reach out to</t>
  </si>
  <si>
    <t>I have a good set of contacts on LinkedIn that I want to be able to segment and reach out to this year.</t>
  </si>
  <si>
    <t>Billing errors and UI drift imply lost money, but no figures are stated. — "If the worker misses a cycle, you have to reconcile without double-charging..”,"</t>
  </si>
  <si>
    <t>Mismatched sources: Twilio webhooks, UI state, and worker-based billing records. — "Twilio's post-call webhook isn't useful for real-time checks because it arrives only after the call finishes.”,"</t>
  </si>
  <si>
    <t>Needs ongoing worker, credit reservation, reconciliation, and persistent storage. — "My backend runs a periodic worker that finds active calls, computes how much time has passed"</t>
  </si>
  <si>
    <t>Twilio and WebRTC developers gather in broad dev communities, not one specific place. — "Any lessons from working with Twilio's browser SDK.”,"</t>
  </si>
  <si>
    <t>Author is a developer asking for advice, not a buyer with a budget. — "Questions for the community &gt; If you've built real-time billing for VoIP, how did you structure it.”,"</t>
  </si>
  <si>
    <t>A call may still be active while the UI falsely thinks it's disconnected, or vice versa.”,</t>
  </si>
  <si>
    <t>A better pattern for keeping client-side call state aligned without falling back to global objects.”,</t>
  </si>
  <si>
    <t>Twilio also doesn't provide a reliable “call started” timestamp, so I track it myself</t>
  </si>
  <si>
    <t>I've been building CallSpark, a browser-based calling platform.”,</t>
  </si>
  <si>
    <t>Described as annoying; no time or money loss stated. — "managing the interdependencies between the prompts is annoying"</t>
  </si>
  <si>
    <t>Multiple interdependent prompts that must stay consistent, though no data inconsistency stated. — "have 6 agents that are engaging in a conversation"</t>
  </si>
  <si>
    <t>Likely needs prompt versioning and dependency tracking, but scope is unclear. — "managing the interdependencies between the prompts is annoying"</t>
  </si>
  <si>
    <t>AI agent developers gather in specific, well-known communities and forums. — "I am working on AI Agents and have 6 agents"</t>
  </si>
  <si>
    <t>Developers or small teams building agents often pay for dev tooling. — "I am working on AI Agents and have 6 agents"</t>
  </si>
  <si>
    <t>managing the interdependencies between the prompts is annoying</t>
  </si>
  <si>
    <t>Are there best practices I don't know yet?</t>
  </si>
  <si>
    <t>I am working on AI Agents and have 6 agents that are engaging in a conversation</t>
  </si>
  <si>
    <t>Blocked deployment and forced to consider self-hosting; no explicit cost or deadline stated. — "the others I've found either way too expensive or also not IPv6 capable"</t>
  </si>
  <si>
    <t>Single clear requirement: IPv6-capable email sending; little data inconsistency involved. — "Preferably also PostgreSQL, but currently I get answers like"</t>
  </si>
  <si>
    <t>Email delivery service needs ongoing sending infrastructure, reputation management, and storage. — "I started looking at roll my own... and ran into these constraints"</t>
  </si>
  <si>
    <t>IPv6 sysadmins gather in broad networking communities, not one specific place. — "The reason that I'm on this discourse, is that I'm busy deploying IPv6 only hosts"</t>
  </si>
  <si>
    <t>Author is price-sensitive but evaluating paid services, likely a small team or admin. — "the others I've found either way too expensive or also not IPv6 capable"</t>
  </si>
  <si>
    <t>I'm busy deploying IPv6 only hosts, and Mailgun for one doesn't have an IPv6 SMTP only IPv4</t>
  </si>
  <si>
    <t>the others I've found either way too expensive or also not IPv6 capable</t>
  </si>
  <si>
    <t>16 agencies, 300 awards</t>
  </si>
  <si>
    <t>$338.6M spent in window</t>
  </si>
  <si>
    <t>0 vendor names with multiple spellings</t>
  </si>
  <si>
    <t>data-processing service by keyword choice</t>
  </si>
  <si>
    <t>government buyers are hard to reach (guess; vendors may be easier)</t>
  </si>
  <si>
    <t>USAspending is public</t>
  </si>
  <si>
    <t>31 agencies, 300 awards</t>
  </si>
  <si>
    <t>$1.5B spent in window</t>
  </si>
  <si>
    <t>21 agencies, 96 awards</t>
  </si>
  <si>
    <t>$230.1M spent in window</t>
  </si>
  <si>
    <t>12 agencies, 38 awards</t>
  </si>
  <si>
    <t>$480.2M spent in window</t>
  </si>
  <si>
    <t>25 agencies, 85 awards</t>
  </si>
  <si>
    <t>$362.6M spent in window</t>
  </si>
  <si>
    <t>18 agencies, 81 awards</t>
  </si>
  <si>
    <t>$438.2M spent in window</t>
  </si>
  <si>
    <t>2 agencies, 2 awards</t>
  </si>
  <si>
    <t>$4.1M spent in window</t>
  </si>
  <si>
    <t>$3.0M spent in window</t>
  </si>
  <si>
    <t>Title</t>
  </si>
  <si>
    <t>Problem (model)</t>
  </si>
  <si>
    <t>Failed gates</t>
  </si>
  <si>
    <t>Quote</t>
  </si>
  <si>
    <t>Tool that solves it (G3)</t>
  </si>
  <si>
    <t>[New York City · Chief Medical Examiner] DYNAMSOFT BARCODE READER RENEWAL LICENSE - 27R0000. Pursuant to the M/WBE Small</t>
  </si>
  <si>
    <t>OCME IT department needs a barcode reader SDK license renewed; no operational workflow stated.</t>
  </si>
  <si>
    <t>G2 need, G3 not trivial</t>
  </si>
  <si>
    <t>"needed for the agency IT Department." / "DYNAMSOFT BARCODE READER RENEWAL LICENSE - 27R0000."</t>
  </si>
  <si>
    <t>Dynamsoft Barcode Reader</t>
  </si>
  <si>
    <t>[New York City · Youth and Community Development] Capacity Building MWBE Equity Approaches. Contracts awarded under this method may not</t>
  </si>
  <si>
    <t>Community-based organizations needing help building equity policies; DYCD funds a vendor to coach them.</t>
  </si>
  <si>
    <t>"support CBOs in a variety of activities focused on structuring organizational policies and practices"</t>
  </si>
  <si>
    <t>[New York City · Youth and Community Development] Capacity Building MWBE for Cultivating Partnerships. This solicitation is being made pursuant</t>
  </si>
  <si>
    <t>DYCD needs a vendor to build capacity of small community organizations via networking and mentoring.</t>
  </si>
  <si>
    <t>"support small and emerging community-based organizations, including faith-based organizations, to better serve their communities through networking with other community leaders and established organizations,"</t>
  </si>
  <si>
    <t>[New York City · Youth and Community Development] Capacity Building MWBE Equity Approaches. To support CBOs in a variety of</t>
  </si>
  <si>
    <t>Community-based organizations needing help developing equity policies, reviews, and disability accommodations; city funds consulting support.</t>
  </si>
  <si>
    <t>"To support CBOs in a variety of activities focused on structuring organizational policies and practices"</t>
  </si>
  <si>
    <t>[New York City · Youth and Community Development] Capacity Building MWBE for Cultivating Partnerships Renewal. This solicitation is being made</t>
  </si>
  <si>
    <t>DYCD staff buying capacity-building support for small community and faith-based organizations.</t>
  </si>
  <si>
    <t>"to support small and emerging community-based organizations, including faith-based organizations, to better serve their communities"</t>
  </si>
  <si>
    <t>[Chicago · CHICAGO DEPARTMENT OF AVIATION] WASTE DISPOSAL, RECYCLING SERVICES AND RENTAL OF RELATED EQUIPMENT</t>
  </si>
  <si>
    <t>Airport department needing waste hauling and recycling services; a physical service, not software.</t>
  </si>
  <si>
    <t>"WASTE DISPOSAL, RECYCLING SERVICES AND RENTAL OF RELATED EQUIPMENT"</t>
  </si>
  <si>
    <t>commodity</t>
  </si>
  <si>
    <t>[New York City · Small Business Services] PAYMENT AGENT VOUCHER INDIVIDUAL TRAINING GRANT. The contractor acts as the payment</t>
  </si>
  <si>
    <t>SBS staff administering training voucher disbursement and 1099 processing for grant programs.</t>
  </si>
  <si>
    <t>"disburse Training and Trainee Voucher payments authorized by SBS to approved training providers and individual customers"</t>
  </si>
  <si>
    <t>[New York City · Health and Mental Hygiene] FY27- RSQ- New Contract/Family Support Services. The New York State Office of</t>
  </si>
  <si>
    <t>State-mandated training of outside family-service providers; not an internal city operational problem.</t>
  </si>
  <si>
    <t>"service providers working in family-serving community-based organizations and agencies to enhance their ability to use strength-based, culturally relevant positive parenting"</t>
  </si>
  <si>
    <t>[Chicago · DEPARTMENT OF FLEET AND FACILITY MANAGEMENT] Unarmed Security Services - Joint Purchase Agreement CHA Contract 12824</t>
  </si>
  <si>
    <t>Fleet and facility department buying unarmed security guard services for city facilities.</t>
  </si>
  <si>
    <t>"Unarmed Security Services - Joint Purchase Agreement CHA Contract 12824"</t>
  </si>
  <si>
    <t>[Chicago · DEPARTMENT OF TECHNOLOGY AND INNOVATION] Oracle PaaS and LaaS Universal Support Credit Renewal. DLT Quote 5260108</t>
  </si>
  <si>
    <t>City technology department renewing Oracle cloud support credits; no operational workflow stated.</t>
  </si>
  <si>
    <t>"Oracle PaaS and LaaS Universal Support Credit Renewal. DLT Quote 5260108" / "Oracle PaaS and LaaS Universal Support Credit Renewal. DLT Quote 5260108"</t>
  </si>
  <si>
    <t>Oracle PaaS and LaaS</t>
  </si>
  <si>
    <t>[Chicago · DEPARTMENT OF TECHNOLOGY AND INNOVATION] DLT Quote# 5419539 for Oracle enterprise software and support.</t>
  </si>
  <si>
    <t>City technology department renewing Oracle enterprise software and support; no operational problem stated.</t>
  </si>
  <si>
    <t>"DLT Quote# 5419539 for Oracle enterprise software and support.','Category: SOFTWARE.'" / "DLT Quote# 5419539 for Oracle enterprise software and support.','Category: SOFTWARE.'"</t>
  </si>
  <si>
    <t>Oracle</t>
  </si>
  <si>
    <t>[Chicago · CHICAGO FIRE DEPARTMENT] CBRN DETECTION AND ID RELATED EQUIPMENT - NEW PARTS, SUPPLIES AND REPAIRS</t>
  </si>
  <si>
    <t>Fire department buys parts and repairs for hazmat detection equipment; no software workflow stated.</t>
  </si>
  <si>
    <t>G1 current, G2 need, G3 not trivial</t>
  </si>
  <si>
    <t xml:space="preserve">"CBRN DETECTION AND ID RELATED EQUIPMENT - NEW PARTS, SUPPLIES AND REPAIRS (GROUPS N AND Q)
Category: WORK SERVICES / FACILITIES MAINT..
" / "CBRN DETECTION AND ID RELATED EQUIPMENT - NEW PARTS, SUPPLIES AND REPAIRS (GROUPS N AND Q)" / "CBRN DETECTION AND ID RELATED EQUIPMENT - NEW PARTS, SUPPLIES AND REPAIRS (GROUPS N AND Q)"</t>
  </si>
  <si>
    <t>[Chicago · DEPARTMENT OF FLEET AND FACILITY MANAGEMENT] RENTAL OF HEAVY EQUIPMENT WITH AND WITHOUT OPERATORS: VACUUM TRUCKS (PRIMARY) &amp;</t>
  </si>
  <si>
    <t>Chicago fleet department renting heavy trucks; no software-solvable operational problem stated.</t>
  </si>
  <si>
    <t>"RENTAL OF HEAVY EQUIPMENT WITH AND WITHOUT OPERATORS: VACUUM TRUCKS (PRIMARY)','','':" / "REFUSE TRUCKS WITHOUT OPERATORS (SECONDARY)" / "RENTAL OF HEAVY EQUIPMENT WITH AND WITHOUT OPERATORS"</t>
  </si>
  <si>
    <t>[Chicago · DEPARTMENT OF PLANNING AND DEVELOPMENT] NON-TARGET MARKET MASTER TASK ORDER CONTRACT; REAL ESTATE SERVICES FOR VARIOUS SCOPE</t>
  </si>
  <si>
    <t>Chicago planning department staff needing outsourced real estate appraisal, brokerage, and consulting services.</t>
  </si>
  <si>
    <t>"REAL ESTATE SERVICES FOR VARIOUS SCOPE CATEGORIES: CATEGORY 1: APPRAISAL, CATEGORY 2: BROKERAGE, CATEGORY 3:CONSULTING"</t>
  </si>
  <si>
    <t>[Chicago · PLANNING &amp; DEVELOPMENT] TARGET MARKET MASTER TASK ORDER CONTRACT; REAL ESTATE SERVICES FOR VARIOUS SCOPE</t>
  </si>
  <si>
    <t>City planning department needing appraisal and real estate consulting services for target market properties.</t>
  </si>
  <si>
    <t>"REAL ESTATE SERVICES FOR VARIOUS SCOPE CATEGORIES: CATEGORY 1: APPRAISAL SERVICES AND CATEGORY 3: CONSULTING SERVICES"</t>
  </si>
  <si>
    <t>[Chicago · CHICAGO DEPARTMENT OF TRANSPORTATION] 1200557: HILTI TOOLS REPLACEMENT PARTS AND SERVICES</t>
  </si>
  <si>
    <t>Transportation department buys replacement parts and service for power tools; no software problem stated.</t>
  </si>
  <si>
    <t>"1200557: HILTI TOOLS REPLACEMENT PARTS AND SERVICES" / "1200557: HILTI TOOLS REPLACEMENT PARTS AND SERVICES" / "HILTI TOOLS REPLACEMENT PARTS AND SERVICES"</t>
  </si>
  <si>
    <t>[Chicago · DEPARTMENT OF TECHNOLOGY AND INNOVATION] DLT Quote# 5419538 for Oracle enterprise software and support.</t>
  </si>
  <si>
    <t>City technology department renewing Oracle enterprise software licenses and support.</t>
  </si>
  <si>
    <t>"DLT Quote# 5419538 for Oracle enterprise software and support.','Category: SOFTWARE.'" / "DLT Quote# 5419538 for Oracle enterprise software and support.','Category: SOFTWARE.'"</t>
  </si>
  <si>
    <t>[Chicago · DEPARTMENT OF TECHNOLOGY AND INNOVATION] DLT Quote# 5419537 for Oracle enterprise software and support.</t>
  </si>
  <si>
    <t>City technology department renewing Oracle enterprise software licenses and support; no operational workflow stated.</t>
  </si>
  <si>
    <t>"DLT Quote# 5419537 for Oracle enterprise software and support." / "DLT Quote# 5419537 for Oracle enterprise software and support."</t>
  </si>
  <si>
    <t>Chicago Planning &amp; Development staff needing real estate consulting; specific operational work unstated.</t>
  </si>
  <si>
    <t>"TARGET MARKET MASTER TASK ORDER CONTRACT; REAL ESTATE SERVICES FOR VARIOUS SCOPE"</t>
  </si>
  <si>
    <t>[Chicago · CHICAGO PUBLIC LIBRARY] ARMORED CAR SERVICES FOR CHICAGO PUBLIC LIBRARY</t>
  </si>
  <si>
    <t>Chicago Public Library needs armored car cash transport; no software problem stated.</t>
  </si>
  <si>
    <t>"ARMORED CAR SERVICES FOR CHICAGO PUBLIC LIBRARY" / "WORK SERVICES / FACILITIES MAINT.. Amount: $0."</t>
  </si>
  <si>
    <t>Chicago Planning &amp; Development buying appraisal and consulting services; no operational pain stated.</t>
  </si>
  <si>
    <t>"TARGET MARKET MASTER TASK ORDER CONTRACT; REAL ESTATE SERVICES FOR VARIOUS SCOPE CATEGORIES"</t>
  </si>
  <si>
    <t>[Chicago · DEPARTMENT OF FLEET AND FACILITY MANAGEMENT] Transfer from PO#157717 MULTI-FUNCTION DEVICES (MFDS), PRINTERS, AND RELATED SERVICES</t>
  </si>
  <si>
    <t>City departments needing managed printing devices and related services in Chicago.</t>
  </si>
  <si>
    <t>"Transfer from PO#157717 MULTI-FUNCTION DEVICES (MFDS), PRINTERS, AND RELATED SERVICES" / "MULTI-FUNCTION DEVICES (MFDS), PRINTERS, AND RELATED SERVICES"</t>
  </si>
  <si>
    <t>[Chicago · CHICAGO DEPARTMENT OF PUBLIC HEALTH] HEALTH PREPAREDNESS SUPPLIES AND RELATED SERVICES FOR THE CITY OF CHICAGO</t>
  </si>
  <si>
    <t>Chicago health department buying preparedness supplies; no operational workflow problem stated.</t>
  </si>
  <si>
    <t>"HEALTH PREPAREDNESS SUPPLIES AND RELATED SERVICES FOR THE CITY OF CHICAGO" / "HEALTH PREPAREDNESS SUPPLIES AND RELATED SERVICES FOR THE CITY OF CHICAGO" / "HEALTH PREPAREDNESS SUPPLIES AND RELATED SERVICES FOR THE CITY OF CHICAGO"</t>
  </si>
  <si>
    <t>[Chicago · DEPARTMENT OF FLEET AND FACILITY MANAGEMENT] 1194851: Professional Moving Services - Target Market</t>
  </si>
  <si>
    <t>City facilities staff needing professional moving services for offices and equipment.</t>
  </si>
  <si>
    <t>"1194851: Professional Moving Services - Target Market"</t>
  </si>
  <si>
    <t>[Chicago · CHICAGO DEPARTMENT OF AVIATION] Decorating Services for Seasonal Display and Special Events</t>
  </si>
  <si>
    <t>Aviation department needs seasonal decorating services; no software-solvable operational problem is stated.</t>
  </si>
  <si>
    <t>"Decorating Services for Seasonal Display and Special Events"</t>
  </si>
  <si>
    <t>[Chicago · DEPARTMENT OF FLEET AND FACILITY MANAGEMENT] TARGET MARKET CONSULTING AGREEMENT FOR REAL ESTATE PROPERTY MANAGEMENT SERVICES</t>
  </si>
  <si>
    <t>Chicago fleet and facility department managing real estate property through outsourced consulting.</t>
  </si>
  <si>
    <t>"TARGET MARKET CONSULTING AGREEMENT FOR REAL ESTATE PROPERTY MANAGEMENT SERVICES"</t>
  </si>
  <si>
    <t>[Chicago · DEPARTMENT OF FLEET AND FACILITY MANAGEMENT] SPECIFICATION: 1200982 PARTS AND SERVICES FOR: GROUP C: CUMMINS ENGINES</t>
  </si>
  <si>
    <t>Fleet department buying engine parts and repair services; no software problem stated.</t>
  </si>
  <si>
    <t>"SPECIFICATION: 1200982 PARTS AND SERVICES FOR: GROUP C: CUMMINS ENGINES" / "PARTS AND SERVICES FOR: GROUP C: CUMMINS ENGINES"</t>
  </si>
  <si>
    <t>[Chicago · DEPARTMENT OF FLEET AND FACILITY MANAGEMENT] NON-TARGET MARKET MASTER CONSULTING AGREEMENT FOR REAL ESTATE PROPERTY MANAGEMENT SERVICES</t>
  </si>
  <si>
    <t>City facility management staff needing outside property management consulting for real estate holdings.</t>
  </si>
  <si>
    <t>"NON-TARGET MARKET MASTER CONSULTING AGREEMENT FOR REAL ESTATE PROPERTY MANAGEMENT SERVICES"</t>
  </si>
  <si>
    <t>[Chicago · DEPARTMENT OF WATER MANAGEMENT] PARTS AND SERVICES FOR LARGE WATER PUMPS AND STEAM TURBINES</t>
  </si>
  <si>
    <t>Water department staff maintaining large pumps and steam turbines at city facilities.</t>
  </si>
  <si>
    <t>"PARTS AND SERVICES FOR LARGE WATER PUMPS AND STEAM TURBINES"</t>
  </si>
  <si>
    <t>[Chicago · DEPARTMENT OF FLEET AND FACILITY MANAGEMENT] PROPERTY MANAGEMENT SERVICES FOR THE HAROLD WASHINGTON LIBRARY CENTER</t>
  </si>
  <si>
    <t>City facility department needs outsourced property management for a large library building.</t>
  </si>
  <si>
    <t>"PROPERTY MANAGEMENT SERVICES FOR THE HAROLD WASHINGTON LIBRARY CENTER"</t>
  </si>
  <si>
    <t>[Chicago · CHICAGO DEPARTMENT OF PUBLIC HEALTH] COMPREHENSIVE EMERGENCY MANAGEMENT PLAN (CEMP) SERVICES</t>
  </si>
  <si>
    <t>Public health department needs emergency management planning consulting; record states no operational detail.</t>
  </si>
  <si>
    <t>"COMPREHENSIVE EMERGENCY MANAGEMENT PLAN (CEMP) SERVICES"</t>
  </si>
  <si>
    <t>[Chicago · CHICAGO FIRE DEPARTMENT] LAERDAL ADVANCED PATIENT SIMULATORS, PARTS, SUPPLIES, ACCESSORIES AND SERVICES</t>
  </si>
  <si>
    <t>Fire department buying training simulator equipment; no software workflow problem stated.</t>
  </si>
  <si>
    <t>"LAERDAL ADVANCED PATIENT SIMULATORS, PARTS, SUPPLIES, ACCESSORIES AND SERVICES" / "LAERDAL ADVANCED PATIENT SIMULATORS, PARTS, SUPPLIES, ACCESSORIES AND SERVICES" / "LAERDAL ADVANCED PATIENT SIMULATORS, PARTS, SUPPLIES, ACCESSORIES AND SERVICES"</t>
  </si>
  <si>
    <t>[Chicago · CHICAGO DEPARTMENT OF AVIATION] AIRSIDE CONCRETE PAVEMENT AND RAMP REPLACEMENT AND CONCRETE CRUSHING O�HARE AND MIDWAY</t>
  </si>
  <si>
    <t>Aviation department needs airfield pavement replaced; physical construction work, not a software problem.</t>
  </si>
  <si>
    <t>"AIRSIDE CONCRETE PAVEMENT AND RAMP REPLACEMENT AND CONCRETE CRUSHING O�HARE AND MIDWAY INTERNATIONAL AIRPORTS"</t>
  </si>
  <si>
    <t>[Chicago · CHICAGO FIRE DEPARTMENT] MSA SELF CONTAINED BREATHING APPARATUS (SCBA), HONEYWELL POSICHEK AND OCCUPATIONAL HEALTH DYNAMICS</t>
  </si>
  <si>
    <t>Fire department maintaining and repairing SCBA breathing equipment and fit-test systems.</t>
  </si>
  <si>
    <t>"MSA SELF CONTAINED BREATHING APPARATUS (SCBA), HONEYWELL POSICHEK"</t>
  </si>
  <si>
    <t>[New York City · Youth and Community Development] Technical Assistance Services for Case Management. In the areas of Organization Development,</t>
  </si>
  <si>
    <t>City youth department supporting contracted providers with case management and organizational capacity needs.</t>
  </si>
  <si>
    <t>"to support our contracted providers and the work they do for the City of New York."</t>
  </si>
  <si>
    <t>[New York City · Emergency Management] Audio-Visual Software and Equipment Maintenance Renewal #2</t>
  </si>
  <si>
    <t>NYC Emergency Management maintains audio-visual systems; no operational workflow problem is stated.</t>
  </si>
  <si>
    <t>"Audio-Visual Software and Equipment Maintenance Renewal #2"</t>
  </si>
  <si>
    <t>[New York City · Youth and Community Development] Security System equipment and installation for DYCD offices. The Mayors Office of</t>
  </si>
  <si>
    <t>DYCD needs physical security equipment installed in its new office space.</t>
  </si>
  <si>
    <t>"professional installation of a complete security system on the 26th floor at 59 Maiden Lane." / "Security System equipment and installation for DYCD offices."</t>
  </si>
  <si>
    <t>[New York City · Citywide Administrative Services] Elevator Drive Repairs. Furnish all labor, materials, tools, and equipment necessary to</t>
  </si>
  <si>
    <t>City facilities staff need elevator drives repaired or replaced; physical repair work, not software.</t>
  </si>
  <si>
    <t>"Furnish all labor, materials, tools, and equipment necessary to repair or replace elevator drives."</t>
  </si>
  <si>
    <t>[New York City · Environmental Protection] BWS Water Utility Climate Alliance Membership 7010186X</t>
  </si>
  <si>
    <t>No operational problem stated; a membership fee for a climate alliance paid by water utility.</t>
  </si>
  <si>
    <t>G1 current, G2 need, G4 author has it</t>
  </si>
  <si>
    <t>"BWS Water Utility Climate Alliance Membership 7010186X Category: Services (other than human services), Other." / "BWS Water Utility Climate Alliance Membership 7010186X" / "BWS Water Utility Climate Alliance Membership 7010186X"</t>
  </si>
  <si>
    <t>[New York City · Environmental Protection] BWS-DEL-462: Feasibility Study of Enlarging the Cannonsville Dam to Increase reservoir capacity</t>
  </si>
  <si>
    <t>NYC DEP studying dam enlargement feasibility; a one-off capital engineering study.</t>
  </si>
  <si>
    <t>G1 current, G4 author has it</t>
  </si>
  <si>
    <t>"Feasibility Study of Enlarging the Cannonsville Dam to Increase reservoir capacity" / "Category: Services (other than human services), Government to Government."</t>
  </si>
  <si>
    <t>[New York City · Environmental Protection] NYS OGS BWSO Rental of box trucks 6001234X/7001214X</t>
  </si>
  <si>
    <t>NYC Environmental Protection rents box trucks via state contract; no software problem stated.</t>
  </si>
  <si>
    <t>"NYS OGS BWSO Rental of box trucks 6001234X/7001214X" / "NYS OGS BWSO Rental of box trucks 6001234X/7001214X"</t>
  </si>
  <si>
    <t>[New York City · Sanitation] ImageWork ClaimConnect License Renewal and Support</t>
  </si>
  <si>
    <t>NYC Sanitation staff handling claims with an existing claims software license.</t>
  </si>
  <si>
    <t>"ImageWork ClaimConnect License Renewal and Support" / "ImageWork ClaimConnect License Renewal and Support"</t>
  </si>
  <si>
    <t>ImageWork ClaimConnect</t>
  </si>
  <si>
    <t>[New York City · Information Technology and Telecommunications] Citywide Voice and Data (TWC/Spectrum) Renewal 2</t>
  </si>
  <si>
    <t>NYC IT department renewing citywide telecom service; no operational workflow problem stated.</t>
  </si>
  <si>
    <t>"Citywide Voice and Data (TWC/Spectrum) Renewal 2"</t>
  </si>
  <si>
    <t>TWC/Spectrum</t>
  </si>
  <si>
    <t>[New York City · Comptroller] Pursuant to Section 3-09 of the Procurement Policy Board Rules for Intergovernmental</t>
  </si>
  <si>
    <t>NYC Comptroller staff need AI tool rollout, training, and governance policy guidance.</t>
  </si>
  <si>
    <t>"for the provision of Microsoft Copilot Chat Implementation and Training"</t>
  </si>
  <si>
    <t>Microsoft Copilot Chat</t>
  </si>
  <si>
    <t>[New York City · Environmental Protection] FMC Air Monitoring 6200041X / 7200036X</t>
  </si>
  <si>
    <t>NYC Environmental Protection needs air monitoring services; record states no operational detail.</t>
  </si>
  <si>
    <t>"FMC Air Monitoring 6200041X / 7200036X Category: Services (other than human services)"</t>
  </si>
  <si>
    <t>[New York City · Sanitation] Pneumatic Tire Casing Retreading and Repair Services</t>
  </si>
  <si>
    <t>NYC Sanitation needs tire retreading and repair for its fleet; physical service, not software.</t>
  </si>
  <si>
    <t>"Pneumatic Tire Casing Retreading and Repair Services"</t>
  </si>
  <si>
    <t>[New York City · Small Business Services] The Consultant will be responsible for planning, managing, and delivering FastTrac® NewVenture</t>
  </si>
  <si>
    <t>NYC Small Business Services needs entrepreneurship bootcamps delivered to aspiring business owners.</t>
  </si>
  <si>
    <t>"free multiple-session entrepreneurship bootcamps for entrepreneurs planning to launch a business in New York City"</t>
  </si>
  <si>
    <t>[New York City · Housing Preservation and Development] NAHRO Subscription. NAHRO shall provide HPD with the full range of services</t>
  </si>
  <si>
    <t>HPD staff need housing training and professional membership benefits; no operational workflow problem stated.</t>
  </si>
  <si>
    <t>"access to members only free webinars on the latest housing and community development topics" / "NAHRO Subscription. NAHRO shall provide HPD with the full range of services"</t>
  </si>
  <si>
    <t>NAHRO membership</t>
  </si>
  <si>
    <t>[New York City · Environmental Protection] CRO-658: Halogen Eclipse Actuator Service and Equipment Purchase at Multiple DEP Facilities</t>
  </si>
  <si>
    <t>DEP facility staff maintaining actuator equipment under a sole source vendor contract.</t>
  </si>
  <si>
    <t>"Category: Services (other than human services), Sole Source. Amount: $442,463."</t>
  </si>
  <si>
    <t>[New York City · Administration for Children's Services] Open Text ECM Support and Other Records Management Support</t>
  </si>
  <si>
    <t>ACS records staff need support maintaining an enterprise content management system and records.</t>
  </si>
  <si>
    <t>"Open Text ECM Support and Other Records Management Support"</t>
  </si>
  <si>
    <t>Open Text ECM</t>
  </si>
  <si>
    <t>[New York City · Parks and Recreation] NYC Parks Certified Playground Safety Inspector Certification (CPSI) Training in Flushing, NY</t>
  </si>
  <si>
    <t>NYC Parks needs staff trained and certified to inspect playground safety.</t>
  </si>
  <si>
    <t>"NYC Parks Certified Playground Safety Inspector Certification (CPSI) Training in Flushing, NY"</t>
  </si>
  <si>
    <t>[New York City · Citywide Administrative Services] FY27 American Public Training LLC dba Graduate School USA Audit training and</t>
  </si>
  <si>
    <t>City staff needing audit and grants management training from an outside vendor.</t>
  </si>
  <si>
    <t>"Audit training and Grants Management Trainings"</t>
  </si>
  <si>
    <t>[New York City · Small Business Services] Challenged Based Procurement - Venture Forward. Although street vending provides critical services</t>
  </si>
  <si>
    <t>Street vendors in NYC struggle to navigate vending regulations and find legal vending opportunities.</t>
  </si>
  <si>
    <t>"limited access to legal vending opportunities is a significant and long-standing challenge."</t>
  </si>
  <si>
    <t>[New York City · Citywide Administrative Services] Annual subscription and support renewal for IBM SPSS</t>
  </si>
  <si>
    <t>Citywide Administrative Services analysts renewing statistical software licensing; no operational problem is stated.</t>
  </si>
  <si>
    <t>"Annual subscription and support renewal for IBM SPSS" / "Annual subscription and support renewal for IBM SPSS"</t>
  </si>
  <si>
    <t>IBM SPSS</t>
  </si>
  <si>
    <t>[New York City · Information Technology and Telecommunications] NYFA - Grant Program Administration (MOME). NYFA contract to develop, administer, and</t>
  </si>
  <si>
    <t>A city media office funding a nonprofit to run a women's media grant program.</t>
  </si>
  <si>
    <t>"encourage and support the creation of film, television, digital, theatrical, and other forms of media and entertainment in NYC"</t>
  </si>
  <si>
    <t>[New York City · Emergency Management] Security System at NYCEM ESC. NYCEM has identified the need and is</t>
  </si>
  <si>
    <t>NYC Emergency Management needs intercoms and access control hardware for its facility security.</t>
  </si>
  <si>
    <t>G1 current, G2 need</t>
  </si>
  <si>
    <t>"seeking to purchase New Intercoms &amp; Access Control for the Security System at the NYCEM ESC." / "NYCEM has identified the need and is seeking to purchase New Intercoms &amp; Access Control for the Security System at the NYCEM ESC."</t>
  </si>
  <si>
    <t>[New York City · Buildings] ELECTRICAL UNIT - SOLAR AND PY TRAINING</t>
  </si>
  <si>
    <t>Buildings Dept electrical unit staff need solar and photovoltaic training.</t>
  </si>
  <si>
    <t>"ELECTRICAL UNIT - SOLAR AND PY TRAINING"</t>
  </si>
  <si>
    <t>[New York City · Youth and Community Development] Early Adolescent Skills for Emotions. EASE enables a task-sharing model of mental</t>
  </si>
  <si>
    <t>A youth department delivering community mental health support via trained lay providers.</t>
  </si>
  <si>
    <t>"support members of their own community experiencing emotional distress"</t>
  </si>
  <si>
    <t>Tell HN: AI coding is sexy, but accounting is the real low-hanging target</t>
  </si>
  <si>
    <t>Founder opines that small-business bookkeeping is easily automatable; no specific problem or request.</t>
  </si>
  <si>
    <t>"most of the work feels like: normalize data from banks / cards / invoices apply deterministic or configurable rules surface exceptions"</t>
  </si>
  <si>
    <t>QuickBooks</t>
  </si>
  <si>
    <t>How are you LLM-coding in an established code base?</t>
  </si>
  <si>
    <t>Startup engineers lack a service to spin up full multi-service stacks for LLM-written code verification.</t>
  </si>
  <si>
    <t>"AFAICT, there's no service that lets me: give a prompt, write the code, spin up all this infra, run Playwright,"</t>
  </si>
  <si>
    <t>What are your AI assistants doing?</t>
  </si>
  <si>
    <t>Hobbyist asks others how they use AI agents; no concrete unsolved problem stated.</t>
  </si>
  <si>
    <t>G1 current, G2 need, G3 not trivial, G4 author has it</t>
  </si>
  <si>
    <t>"I automate the tedious and try to find little things to do, but I could do these things by hand if I really wanted." / "So my question is, what do you use agents like this for? Is it strictly for fun or also for profit?" / "I make small automations, 1 of them does not even need an LLM, only the profile matching does." / "It's fun, certainly, the LLM assumes the ST Voyager computer persona, answers with Vulcan salutes"</t>
  </si>
  <si>
    <t>OpenClaw</t>
  </si>
  <si>
    <t>5 App ideas people are asking for on Reddit right now</t>
  </si>
  <si>
    <t>Author promoting a pain-point catalog tool; no personal problem of their own.</t>
  </si>
  <si>
    <t>G2 need, G4 author has it</t>
  </si>
  <si>
    <t>"What would you build from this list? Anyone working on something similar?" / "it scans Reddit for validated pain points organized by niche. Happy to share more for any specific niche if anyone's curious."</t>
  </si>
  <si>
    <t>Dumping GitHub for Forgejo for a free and open source project</t>
  </si>
  <si>
    <t>Open source maintainer wants Forgejo hosting without losing GitHub contributors' issues and PRs.</t>
  </si>
  <si>
    <t>"I keep a mirror on github, utilize issues and PRs there."</t>
  </si>
  <si>
    <t>Forgejo/GitHub mirroring</t>
  </si>
  <si>
    <t>Built an AI-powered profit calculator and inventory tracker app for resellers</t>
  </si>
  <si>
    <t>Resellers researching item profitability and tracking inventory; post is a developer promoting his own app.</t>
  </si>
  <si>
    <t>"Launched 2 months ago 10 free analyses to start Paid tiers from $2.99/mo Active users in flipping community" / "How would you improve the AI prompts for better accuracy? What's a fair price for this kind of analysis tool?" / "So I built Underpriced.app - an AI reseller app that tells you if something is worth flipping before you buy it." / "Promoting SaaS is way harder than building it The reselling community is way bigger than I expected"</t>
  </si>
  <si>
    <t>Underpriced.app</t>
  </si>
  <si>
    <t>Hit Supabase's free→$25 pricing cliff. Any middle-tier options?</t>
  </si>
  <si>
    <t>Solo builder hit Supabase free-tier egress cap; wants a cheaper middle pricing tier.</t>
  </si>
  <si>
    <t>"Upgrade to Pro at $25/mo, instantly unblocked"</t>
  </si>
  <si>
    <t>Supabase Pro</t>
  </si>
  <si>
    <t>I have an interesting idea to reduce the output tokens almost by fifty percent</t>
  </si>
  <si>
    <t>AI coding agent users wasting output tokens restating old code during edits.</t>
  </si>
  <si>
    <t>"I hope any harness builder who sees this post will apply it to a harness."</t>
  </si>
  <si>
    <t>My family business runs on a 1993-era text-based-UI (TUI). Anybody else?</t>
  </si>
  <si>
    <t>Family wholesale distributor on a legacy 1993 TUI system with brittle automation scripts.</t>
  </si>
  <si>
    <t xml:space="preserve">"I'm not sure if I'm blinded by nostalgia or if this application is truly as wonderful as I remember it."
" / "I’d love to hear if and how these are still being utilized in the real world."</t>
  </si>
  <si>
    <t>Invoice OCR API for Logistics Expense Tracking Automation</t>
  </si>
  <si>
    <t>Logistics companies manually entering invoice data; post reads as OCR API promotion.</t>
  </si>
  <si>
    <t>"Manually recording these expenses can slow down financial tracking and increase the chances of data entry errors." / "An Invoice OCR API helps automate this process by extracting important information directly from invoice images or PDFs." / "An Invoice OCR API helps automate this process by extracting important information directly from invoice images or PDFs." / "Logistics and transportation companies handle large volumes of invoices for fuel, freight, tolls, and vendor services."</t>
  </si>
  <si>
    <t>Invoice OCR API</t>
  </si>
  <si>
    <t>AI Aadhaar OCR API for Fast Aadhaar Data Extraction</t>
  </si>
  <si>
    <t>Fintech and KYC businesses needing Aadhaar card data extraction (post is a product promotion).</t>
  </si>
  <si>
    <t>"We built an AI-powered Aadhaar OCR API that can extract data from Aadhaar cards instantly for KYC automation."</t>
  </si>
  <si>
    <t>Aadhaar OCR API</t>
  </si>
  <si>
    <t>Sentient: Transform Customer Feedback into Actionable Intelligence with AI</t>
  </si>
  <si>
    <t>Founder promoting an AI feedback analysis product; no problem stated.</t>
  </si>
  <si>
    <t>"We're excited to share Sentient, an AI-powered customer intelligence platform that transforms raw customer feedback into actionable business insights in under 60 seconds." / "Try It Now: - Live Demo - https://usesentient.app/demo - Pricing - https://usesentient.app/pri" / "Sentient uses advanced neural networks to analyze customer feedback and extract: - Sentiment Analysis" / "Hi HN! We're excited to share Sentient, an AI-powered customer intelligence platform that transforms raw customer feedback"</t>
  </si>
  <si>
    <t>an LLM</t>
  </si>
  <si>
    <t>AI Agents Are Quietly Taking over Project Management</t>
  </si>
  <si>
    <t>No specific problem; general discussion about AI agents in project management.</t>
  </si>
  <si>
    <t>"AI agents built on LLMs and predictive analytics are starting to handle the repetitive work" / "Would you trust an AI to manage your next project if it could outperform a human PM?" / "We might be close to the first "AI project manager""</t>
  </si>
  <si>
    <t>Sales calculation tool for Excel price lists</t>
  </si>
  <si>
    <t>B2B sales teams quoting configurable products from Excel price lists</t>
  </si>
  <si>
    <t>"I started working on this because there seem to be a lot of B2B sales processes where the actual pricing logic still lives in spreadsheets." / "I am only posting a waitlist-landing-page here and then I would do the setup manually for those who are interested." / "I built a sales calculation tool for teams that still rely heavily on Excel for product pricing and quote calculations."</t>
  </si>
  <si>
    <t>What do you still do manually in 2026 that should be automated?</t>
  </si>
  <si>
    <t>Founder surveying people for manual workflows; no specific problem stated.</t>
  </si>
  <si>
    <t>"I'm researching pain points around manual workflows that haven't been automated yet." / "What's yours? Curious to hear both technical and non-technical answers." / "I'm researching pain points around manual workflows that haven't been automated yet."</t>
  </si>
  <si>
    <t>How can I get better at using AI for programming?</t>
  </si>
  <si>
    <t>Developer wants better AI workflow for translating Django templates into idiomatic SvelteKit components.</t>
  </si>
  <si>
    <t>"Simple prompting just isn't able to get AI's code quality within 90% of what I'd write by hand."</t>
  </si>
  <si>
    <t>Claude Code</t>
  </si>
  <si>
    <t>I procrastinate by building tools to stop me from procrastinating: A sad story</t>
  </si>
  <si>
    <t>A student with ADHD who gets distracted while studying built a personal distraction-blocking proxy.</t>
  </si>
  <si>
    <t>G2 need, G3 not trivial, G4 author has it</t>
  </si>
  <si>
    <t>"I hope someone smarter and with more time than me might just take it and make it good." / "I made a customizable forward proxy. You can define your custom rules in nodes" / "It's a project I built for personal use but, with work and shit, I don't have as much free time"</t>
  </si>
  <si>
    <t>Cold Turkey</t>
  </si>
  <si>
    <t>How do you handle lost webhooks in production?</t>
  </si>
  <si>
    <t>Engineering teams losing critical Stripe/Shopify webhooks in production, discovered hours later.</t>
  </si>
  <si>
    <t>"Curious how others handle this: - Do you rely on the provider's retry policy?" / "Context: Building https://relaehook.com to solve this, but genuinely curious what the norm is"</t>
  </si>
  <si>
    <t>Is using AI tooling for a PhD literature review dishonest?</t>
  </si>
  <si>
    <t>PhD student unsure whether AI-assisted literature review workflow counts as academic misconduct.</t>
  </si>
  <si>
    <t>"So my question is, is it dishonest? Because I can defend every claim in the review because I built the verification pipeline"</t>
  </si>
  <si>
    <t>How to introduce Claude Code to a team?</t>
  </si>
  <si>
    <t>Engineering team lead wants advice onboarding a mixed-seniority team to Claude Code.</t>
  </si>
  <si>
    <t>"Do you have reading recommendations or tips to get people started? I'm grateful for any advice here."</t>
  </si>
  <si>
    <t>Browser extension vs. native app for structured form filling?</t>
  </si>
  <si>
    <t>Founder asking architecture advice on extension vs native app for form-filling tool.</t>
  </si>
  <si>
    <t>"A) Browser extension (current approach) — more context, mobile support, clearer UX B) Native app like Espanso/KeePassXC — more universal, single install, simpler" / "I’m working on a project called Injectless — a browser extension that allows websites to explicitly declare which data they are allowed to inject"</t>
  </si>
  <si>
    <t>I automated multi-deadline tracking with Excel and Outlook</t>
  </si>
  <si>
    <t>Author solved their own deadline tracking and asks others for general techniques.</t>
  </si>
  <si>
    <t>G1 current, G3 not trivial, G4 author has it</t>
  </si>
  <si>
    <t>"Keeping track of multiple deadlines can be tedious and error-prone. I built a small workflow tool using Excel and Outlook that:" / "Calculates remaining days to expiry automatically Flags items visually as deadlines approach Sends email alerts in real time" / "I built a small workflow tool using Excel and Outlook that:"</t>
  </si>
  <si>
    <t>spreadsheet</t>
  </si>
  <si>
    <t>Where is society heading, is there a plan for a jobless future?</t>
  </si>
  <si>
    <t>A parent worries about societal impact of mass automation; no concrete product need.</t>
  </si>
  <si>
    <t>"these were problems far off in the future - and that may very well be true still" / "Are governments aware of all this? Are they planning for a sort of post-money world?" / "I really wonder what kind of work/world they'll be living in when they're my age."</t>
  </si>
  <si>
    <t>Need feedback please alternative to Vanta/Conveyor because I hate subscriptions</t>
  </si>
  <si>
    <t>Small SaaS founder needs a cheap way to fill out enterprise security questionnaires.</t>
  </si>
  <si>
    <t>"Is this actually a problem worth solving? Or have you found better ways to handle these?" / "Thinking about building a dead-simple utility: Upload blank questionnaire Upload your security docs AI fills it out"</t>
  </si>
  <si>
    <t>AI agent has more production access than your senior engineers</t>
  </si>
  <si>
    <t>Teams give infrastructure AI agents broad production credentials with no blast-radius constraints.</t>
  </si>
  <si>
    <t>"The exercise: if your agent got prompt-injected right now, what is the worst thing it could do with the credentials it actually has?"</t>
  </si>
  <si>
    <t>Is AI slowing you down?</t>
  </si>
  <si>
    <t>Principal engineer finds AI coding agents cost more time in specs and review than manual implementation.</t>
  </si>
  <si>
    <t>"if I don't describe exactly how it needs to be built (low level specs), or if I don't know how the current codebase"</t>
  </si>
  <si>
    <t>Cursor</t>
  </si>
  <si>
    <t>Best Music Distributors in 2026</t>
  </si>
  <si>
    <t>Independent artists choosing a music distributor; post is promotional, not a problem.</t>
  </si>
  <si>
    <t>"This guide analyzes the heavy hitters, ranking them on transparency, global reach, and artist-centric features." / "Their proprietary Transfer Module lets you migrate your catalog from other distributors using just a Spotify URL." / "AnonyxGhost has ascended to the top spot for 2026 by disrupting the "big box" model with radical simplicity."</t>
  </si>
  <si>
    <t>DistroKid</t>
  </si>
  <si>
    <t>Free, local-first barcode generator (No server uploads)</t>
  </si>
  <si>
    <t>Developer promoting own free barcode label tool; no author-owned problem described.</t>
  </si>
  <si>
    <t>"I'd love to get your feedback on the UX, the label designer, or any edge-case barcode formats I should add next." / "You either have to pay a hefty monthly subscription for enterprise software (like BarTender)" / "Hi HN, I'm the developer behind BarcodX (https://barcodx.com)."</t>
  </si>
  <si>
    <t>BarTender</t>
  </si>
  <si>
    <t>Any Recommended Alternative to Wappalyzer?</t>
  </si>
  <si>
    <t>Individual wants a tool revealing a company's full infrastructure tech stack beyond Wappalyzer.</t>
  </si>
  <si>
    <t>"Wappalyzer works great for finding what javascript or css frameworks a company uses"</t>
  </si>
  <si>
    <t>BuiltWith</t>
  </si>
  <si>
    <t>Claude Desktop Silently Associates with Common Files</t>
  </si>
  <si>
    <t>Windows user annoyed that Claude Desktop auto-associated with common file types.</t>
  </si>
  <si>
    <t>"I am not sure how this happened and how would Windows (10) allowed this to happen." / "even though I already have Cursor, Notepad, New Notepad App, LibreOffice... that can handle these files and associated."</t>
  </si>
  <si>
    <t>Windows Default Apps settings</t>
  </si>
  <si>
    <t>Use Google Sheets as Your Database</t>
  </si>
  <si>
    <t>No one; a founder promoting their Google Sheets API product, not describing a problem.</t>
  </si>
  <si>
    <t>"SheetSandbox gives you instant GET/POST APIs to store and fetch data directly from your spreadsheets." / "Try it here: https://sheetsandbox.com https://www.producthunt.com/products/sheetsandbox?launch=sheetsandbox" / "Turning Google Sheets into a production-ready database." / "Try it here: https://sheetsandbox.com https://www.producthunt.com/products/sheetsandbox?launch=sheetsandbox"</t>
  </si>
  <si>
    <t>Google Sheets</t>
  </si>
  <si>
    <t>Why is network documentation still a scavenger hunt for the truth?</t>
  </si>
  <si>
    <t>Network and DC engineers struggle with documentation drifting from actual running topology</t>
  </si>
  <si>
    <t>"I’d love to listen your “this never works” stories: - What’s your actual source of truth today"</t>
  </si>
  <si>
    <t>From Repetitive to Revolutionary: How AI Is Transforming Project Management</t>
  </si>
  <si>
    <t>Generic essay about project managers burdened by manual spreadsheet work; no specific person stated.</t>
  </si>
  <si>
    <t>"Project management has always been a paradox. It’s supposed to drive innovation — yet much of it feels like manual labor." / "AI is starting to change that. What used to be routine and reactive is now becoming predictive and automated." / "Spreadsheets, Gantt charts, progress updates, and resource allocations consume time that should be spent on strategy." / "AI is starting to change that. What used to be routine and reactive is now becoming predictive and automated."</t>
  </si>
  <si>
    <t>How do you decide an idea is worth building before you start coding?</t>
  </si>
  <si>
    <t>Founders and developers lack a reliable process for deciding whether an idea is worth building.</t>
  </si>
  <si>
    <t>"Curious how HN founders and developers actually make this decision in practice. Have you found a process that works consistently?" / "the final decision still comes down to a mix of browser tabs, notes, spreadsheets and gut feeling"</t>
  </si>
  <si>
    <t>What's the hardest part of getting SOC 2 done in practice?</t>
  </si>
  <si>
    <t>Founders and engineers getting through SOC 2 compliance (asked about generally, not by a sufferer).</t>
  </si>
  <si>
    <t>"Not trying to sell anything, genuinely trying to understand where the real friction is." / "dealing with tools vs. spreadsheets vs. consultants" / "Not trying to sell anything, genuinely trying to understand where the real friction is."</t>
  </si>
  <si>
    <t>Vanta</t>
  </si>
  <si>
    <t>Freelancers are losing ~30% of their time and revenue to tool fragmentation</t>
  </si>
  <si>
    <t>Freelancers and small agencies lose time and money tracking clients across scattered tools.</t>
  </si>
  <si>
    <t>"What's most frustrating about managing client work today? What do you wish existed that doesn't?" / "Projects sit in Gmail or WhatsApp, portfolios in Notion, payments on random links, and invoices in spreadsheets." / "I'm trying to understand what better infrastructure for independent work could look like"</t>
  </si>
  <si>
    <t>HoneyBook</t>
  </si>
  <si>
    <t>What's still broken in SoC 2 readiness and audit prep?</t>
  </si>
  <si>
    <t>Teams preparing for SOC 2 audits struggle with scheduling, follow-ups, and audit-ready evidence.</t>
  </si>
  <si>
    <t>"teams still struggle most with task planning over time, follow-ups, and turning evidence into something that's actually audit-ready." / "I'm curious: - Where did SOC 2 preparation break down most for you?" / "If you've used tools like Vanta, Drata, or others, what did they do well and what didn't they?" / "I recently launched a new version of a platform I'm building (https://www.lumoar.com)"</t>
  </si>
  <si>
    <t>Do freelancers manually scan social media for leads?</t>
  </si>
  <si>
    <t>Freelancers and small agencies manually hunt social media for hiring posts to find leads.</t>
  </si>
  <si>
    <t>"Do you currently search social media for leads? How do you decide which posts are worth reaching out to?" / "I’m exploring building a tool that automatically surfaces live hiring posts across social platforms"</t>
  </si>
  <si>
    <t>Why is the HN crowd so anti-AI?</t>
  </si>
  <si>
    <t>Software engineer frustrated by HN community's negative sentiment toward AI-generated code; no product need.</t>
  </si>
  <si>
    <t>"I say this as someone who has spent more than 20 years honing their craft as a software engineer."</t>
  </si>
  <si>
    <t>Tell HN: VS Code v1.117.0 automatically adds GitHub Copilot as your co author</t>
  </si>
  <si>
    <t>A VS Code user finds Copilot auto-added as co-author on their commits.</t>
  </si>
  <si>
    <t>"How does anyone at Microsoft/Github thinks this is ok?"</t>
  </si>
  <si>
    <t>When do we expose "Humans as Tools" so LLM agents can call us on demand?</t>
  </si>
  <si>
    <t>Speculative discussion about marketplaces exposing humans as callable tools for LLM agents; no concrete problem.</t>
  </si>
  <si>
    <t>"But many real-world tasks still require humans. So… why not expose humans as tools?" / "Questions I'm genuinely curious about: - Is this inevitable once agents become default software actors?" / "Not sure if this is the future or a cursed idea we should actively prevent..."</t>
  </si>
  <si>
    <t>Internet is no longer accessible?</t>
  </si>
  <si>
    <t>General internet user frustrated by CAPTCHAs, forced 2FA, and bot-detection friction across websites.</t>
  </si>
  <si>
    <t>"Everyone assumes you are bot."</t>
  </si>
  <si>
    <t>How do you handle release notes for multiple audiences?</t>
  </si>
  <si>
    <t>Teams shipping often struggle to write release notes tailored for developers, end users, and stakeholders.</t>
  </si>
  <si>
    <t>"manually rewrite the same update multiple times for each audience"</t>
  </si>
  <si>
    <t>Is the web for machines (/llm.txt) the one we wished we had as humans?</t>
  </si>
  <si>
    <t>Web users annoyed that browsers do not render llm.txt markdown files.</t>
  </si>
  <si>
    <t>"So could the AI revolution actually fix the web for humans as a side effect?" / "The only annoyance is web browsers like chrome do not render the markdown."</t>
  </si>
  <si>
    <t>markdown viewer browser extension</t>
  </si>
  <si>
    <t>Is a Claw driven Hacker News user a problem?</t>
  </si>
  <si>
    <t>HN user asking an ethics question about using AI-filtered comment pages to amplify their voting.</t>
  </si>
  <si>
    <t>"Is there an ethical obligation to interact with online services through their available UI, or are we free to make our own?" / "Is this fine, or would you rather I didn't?" / "As a result of this filtration my impact as a voter on the site is amplified."</t>
  </si>
  <si>
    <t>Tell HN: Google Search to begin using opaque redirect URLs on search results</t>
  </si>
  <si>
    <t>Privacy-minded Google users who can't decode new opaque search result redirect links</t>
  </si>
  <si>
    <t>"I suspect that they are doing this to track users more reliably, or to mitigate search results page scrapers. What are your thoughts?" / "The URL can be easily decoded to the intended destination, either manually (with things like URLCheck or ClearURLs)" / "I suspect that they are doing this to track users more reliably, or to mitigate search results page scrapers."</t>
  </si>
  <si>
    <t>ClearURLs</t>
  </si>
  <si>
    <t>Skeptic impressed by colleague's AI workflow</t>
  </si>
  <si>
    <t>A skeptic reflects on a colleague's AI coding workflow; no concrete problem or ask stated.</t>
  </si>
  <si>
    <t>"So he asked Claude why they thought he was having a better experience." / "I am using OpenAI's for their codex cli tool which is my main one, but also Claude Code almost as much" / "I told him that he's probably in the top 2-5% of AI-coding experiences I've read on HN."</t>
  </si>
  <si>
    <t>Tell HN: ChatGPT exports do not contain all conversation messages</t>
  </si>
  <si>
    <t>ChatGPT user whose data export is missing conversation messages</t>
  </si>
  <si>
    <t>"Has anyone else noticed missing data in their recent OpenAI exports?" / "I then tried to submit the report via the chat on help.openai.com, and the chat stopped responding completely."</t>
  </si>
  <si>
    <t>manual download</t>
  </si>
  <si>
    <t>Note-taking software,Novel ideas</t>
  </si>
  <si>
    <t>Note-taking users wanting free git-based sync; author pitching idea, not stating a personal problem.</t>
  </si>
  <si>
    <t>"Would you be interested in an open-source and free synchronization service provided by a code repository?" / "Most note synchronization services are paid,but repository is free.git needs to handle conflicts manually." / "Would you be interested in an open-source and free synchronization service provided by a code repository?"</t>
  </si>
  <si>
    <t>Obsidian Git</t>
  </si>
  <si>
    <t>Do you need Google ads help?</t>
  </si>
  <si>
    <t>Founder promoting an AI Google Ads tool and seeking test clients</t>
  </si>
  <si>
    <t>"I’d like to help 10/15 companies run their Google Ads campaigns." / "If you’re currently running ads or planning to do so, email me" / "I’m building https://unfetch.com, something like Codex but focused on Google Ads."</t>
  </si>
  <si>
    <t>Others seeing agents do remarkable things when given their own logs?</t>
  </si>
  <si>
    <t>Hobbyist shares delight at LLM agent persisting memory across machines; no problem stated.</t>
  </si>
  <si>
    <t>"I just had a fairly profound experience working with what I consider to be a long-running agent which I call magent."}."}]" / "Others seeing agents do remarkable things when given their own logs?" / "I've built a system, "memory lane", which is a django app that watches the log files" / "I'm generally pro-anthropomorphization for LLMs, so I'm easily moved, but even for me, this was pretty mind-blowing."</t>
  </si>
  <si>
    <t>memory lane</t>
  </si>
  <si>
    <t>Looking for co founder in the consumer app space</t>
  </si>
  <si>
    <t>Solo mobile app developer wants a co-founder with distribution and marketing experience.</t>
  </si>
  <si>
    <t>"I'm looking to grow and connect with other motivated entrepreneurs in the consumer app space."</t>
  </si>
  <si>
    <t>AI: Equalizer or Divider?</t>
  </si>
  <si>
    <t>No one; essay on AI access inequality, no concrete problem stated.</t>
  </si>
  <si>
    <t>"So IMHO it is an important question whether AI becomes an equalizer, or a tool that widens the gap" / "I have also seen the gap between a 10x developer and an average one shrink"</t>
  </si>
  <si>
    <t>How do you safely give LLMs SSH/DB access?</t>
  </si>
  <si>
    <t>DevOps engineers using LLM agents need safe pre-approved command allowlists for SSH and DB access.</t>
  </si>
  <si>
    <t>"giving it a list of pre-approved commands or actions that it is allowed to run over ssh"</t>
  </si>
  <si>
    <t>Have you ever been able to code in the first place?</t>
  </si>
  <si>
    <t>A hobbyist programmer reflecting on whether AI coding makes their past skills meaningless.</t>
  </si>
  <si>
    <t>"So I was wondering, was I even ever able to code? Or was it just a huge waste of time?" / "Have you ever been really able to code? Or was it more like trying something, it doesn't really work," / "All I do is I start the Gemini CLI and have it code for me." / "And is it really a disservice to my intellect if I stop doing that and just have AI create it?"</t>
  </si>
  <si>
    <t>Gemini CLI</t>
  </si>
  <si>
    <t>A WIP arbitrary precision arithmetic library (alternative to GMP)</t>
  </si>
  <si>
    <t>Solo developer showcasing an MIT-licensed bignum library, seeking general feedback.</t>
  </si>
  <si>
    <t>"Still largely WIP. Interested in any feedback and/or criticisms. Happy to answer any questions." / "Interested in any feedback and/or criticisms. Happy to answer any questions." / "to offer a nearly-as-fast alternative to GNU's LibGMP, but under the MIT License" / "I am actively developing an arbitrary-precision arithmetic library in C with the aim to offer a nearly-as-fast alternative to GNU's LibGMP"</t>
  </si>
  <si>
    <t>GMP</t>
  </si>
  <si>
    <t>Does professional coding make you forget the "magic" feeling?</t>
  </si>
  <si>
    <t>A professional developer misses the sense of wonder coding once gave them.</t>
  </si>
  <si>
    <t>"For those who still feel that magic: how do you experience it?"</t>
  </si>
  <si>
    <t>How do you test your MyBatis dynamic SQL queries?</t>
  </si>
  <si>
    <t>MyBatis developers manually strip dynamic SQL tags and fill parameters to test queries.</t>
  </si>
  <si>
    <t>"If I were to release a tool like this, would it be something you’d actually find useful" / "I am developing this plugin and drafting this post with the assistance of AI agents"</t>
  </si>
  <si>
    <t>LLMs are bad at novelty, but that is our chance to Singularity</t>
  </si>
  <si>
    <t>No concrete problem; author speculates about AI and future jobs.</t>
  </si>
  <si>
    <t>"But it will not come from AI, but from people on a mission to discover something new." / "Jokes aside, imagine the gigantic potential we can unlock if we transfer billions of people on a quest to unlock novelty."</t>
  </si>
  <si>
    <t>2025 Workplace Productivity Guide: How Pulse Gives Me Executive-Level Assistant</t>
  </si>
  <si>
    <t>Promotional post for Pulse AI; no author with a real problem.</t>
  </si>
  <si>
    <t>"Pulse vs. Notion Notion builds systems; Pulse executes automatically. Pulse vs. Superhuman Superhuman speeds up email"</t>
  </si>
  <si>
    <t>Superhuman</t>
  </si>
  <si>
    <t>HN: KironX, Helping you reply on X without sounding like a bot</t>
  </si>
  <si>
    <t>Founder launching a Chrome extension for authentic X reply engagement; seeking feedback, not help.</t>
  </si>
  <si>
    <t>"Most of what I tried either automated replies, generated generic text, or optimized for volume over relevance."</t>
  </si>
  <si>
    <t>engagement tools</t>
  </si>
  <si>
    <t>Tell HN: Anthropic's Fable model is too expensive</t>
  </si>
  <si>
    <t>A $200-plan AI subscriber burning quota fast on an expensive model.</t>
  </si>
  <si>
    <t>"I’m on the $200 subscription plan." / "Previously, using the Opus 4.8 model, I would only use up 80% of my total quota over the course of a week"</t>
  </si>
  <si>
    <t>Opus 4.8 model</t>
  </si>
  <si>
    <t>I spent $1000 on Google Ads and here's what I learnt</t>
  </si>
  <si>
    <t>Small service business owner losing ad budget to invalid clicks and poor-return Google campaigns</t>
  </si>
  <si>
    <t>"I spent $1000 on Google Ads and here's what I learnt"</t>
  </si>
  <si>
    <t>What email provider do you recommend for personal email?</t>
  </si>
  <si>
    <t>Individual wanting a personal email provider on own domain with exports and API.</t>
  </si>
  <si>
    <t>"What is a good provider I can use that will not be too expensive"</t>
  </si>
  <si>
    <t>Fastmail</t>
  </si>
  <si>
    <t>Best AI coding plan alternative to Claude and ChatGPT</t>
  </si>
  <si>
    <t>Individual developer wants a cheaper AI coding plan with higher usage limits than Claude.</t>
  </si>
  <si>
    <t>"GLM Coding Plan (Z AI): $18/month Lite Plan - BytePlus: $10 ModelArk Coding Plan"</t>
  </si>
  <si>
    <t>GLM Coding Plan</t>
  </si>
  <si>
    <t>SlothDB a 5X Faster Alternative to DuckDB, ClickHouse DB</t>
  </si>
  <si>
    <t>Author promoting their own database project; no user problem described.</t>
  </si>
  <si>
    <t xml:space="preserve">"SlothDB is an OLAP embedded database that is 1.35X to 5X Faster than DuckDB and Clickhouse DB.
" / "Hit the star button or submit a PR if you would like to contribute.
" / "SlothDB is an OLAP embedded database that is 1.35X to 5X Faster than DuckDB and Clickhouse DB.
" / "Hit the star button or submit a PR if you would like to contribute.
"</t>
  </si>
  <si>
    <t>DuckDB</t>
  </si>
  <si>
    <t>Defensive Publication: A $0 Alternative to Patents for Bootstrapped SaaS</t>
  </si>
  <si>
    <t>Bootstrapped SaaS founders overspending on patents; author promoting a defensive publication guide.</t>
  </si>
  <si>
    <t>"Has anyone here successfully used defensive publication to block a patent troll?" / "using GitHub + Wayback Machine to establish Prior Art under 35 U.S.C. 102" / "I wrote a detailed breakdown on how to structure the "Enabling Disclosure" so it actually holds up in court"</t>
  </si>
  <si>
    <t>GitHub</t>
  </si>
  <si>
    <t>What would a developer-first alternative to Shopify look like?</t>
  </si>
  <si>
    <t>E-commerce agency founder exploring a developer-first Shopify alternative and seeking opinions.</t>
  </si>
  <si>
    <t>"Right now this is still just an early exploration."</t>
  </si>
  <si>
    <t>Shopify</t>
  </si>
  <si>
    <t>Hacker News Alternative Where People Are Positive About AI</t>
  </si>
  <si>
    <t>Individual reader wants a forum with positive, mature AI discussion instead of Hacker News.</t>
  </si>
  <si>
    <t>"Is it just /r/LLM or something?"</t>
  </si>
  <si>
    <t>Reddit</t>
  </si>
  <si>
    <t>Would you use a fast/cheap "prior art" service instead of a patent?</t>
  </si>
  <si>
    <t>Early-stage startup founders needing cheap, fast IP protection (author is validating own idea).</t>
  </si>
  <si>
    <t>"We're trying to validate if this is truly valuable for early-stage founders." / "Would you consider this a valid alternative to a low-value patent?" / "The core proposition is: for a few hundred dollars, you get a timestamped, public disclosure"</t>
  </si>
  <si>
    <t>Can you help reconcile my first/second-hand LLM Experience with HN's Experience?</t>
  </si>
  <si>
    <t>Software engineer wants discussion to reconcile workplace LLM experience with HN consensus.</t>
  </si>
  <si>
    <t>"I'm concerned about how far off the perspective is toward LLM usage is in my job vs here on HN." / "Can you help reconcile my first/second-hand LLM Experience with HN's Experience?"</t>
  </si>
  <si>
    <t>Orchestrating 5000 Workers Without Distributed Locks: Rediscovering TDMA</t>
  </si>
  <si>
    <t>Engineer sharing a TDMA approach to orchestrating batch workers without distributed locks; no request for help.</t>
  </si>
  <si>
    <t>"I needed to orchestrate 500-5000 batch workers (ML training, ETL) using Go and SQLite.','','','','','',''}" / "Every tutorial said: use etcd, Consul, or ZooKeeper. But why do these processes need to talk to each other at all?" / "Airflow | 300 | 2s | 2-3 | Batch" / "Alternative: 1. Can processes avoid each other? (temporal isolation) 2. Can data be partitioned? (spatial isolation)"</t>
  </si>
  <si>
    <t>Airflow</t>
  </si>
  <si>
    <t>A 3-Layer Cognitive Architecture with Append-Only Provenance and Ethics Gating</t>
  </si>
  <si>
    <t>Solo founder promoting an AI architecture and seeking technical feedback; no stated user problem.</t>
  </si>
  <si>
    <t>"What I'm looking for feedback on: Does signal-based integration scale cleanly, or introduce hidden bottlenecks?" / "Free 3-day trial, plus a demo chat limited to 20 messages per day: https://primordiagi.com"</t>
  </si>
  <si>
    <t>Feedback on a single-shot agent builder ~10 minutes</t>
  </si>
  <si>
    <t>Founder promoting an automation agent builder; no user problem described.</t>
  </si>
  <si>
    <t>"Feedback on a single-shot agent builder ~10 minutes" / "Instead of drag-and-drop flows or if/else trees, you say the outcome once in plain English"</t>
  </si>
  <si>
    <t>Zapier</t>
  </si>
  <si>
    <t>How do small property management teams handle data entry from tenant documents?</t>
  </si>
  <si>
    <t>Small property management teams manually re-enter tenant data from scanned IDs and PDFs into CRMs.</t>
  </si>
  <si>
    <t>"I'm trying to understand how smaller property management teams handle document-heavy workflows."</t>
  </si>
  <si>
    <t>Practical Tips for Gemini 3</t>
  </si>
  <si>
    <t>No problem stated; author shares generic Gemini prompt tips for screenshots, spreadsheets, code, and research.</t>
  </si>
  <si>
    <t>"Turn Any Screenshot into a Structured Note Screenshot (meeting notes/webpage/paper/etc.): Extract key text; Summarize as clear bullet points;" / "Act as a cautious research assistant: "Given a claim, identify likely accurate, questionable, and clearly wrong parts."" / "Suggest 3 charts that best explain the data and describe what each chart should show." / "Practical Tips for Gemini 3"</t>
  </si>
  <si>
    <t>Gemini</t>
  </si>
  <si>
    <t>I spent $900 on AI coding agents in 8 weeks</t>
  </si>
  <si>
    <t>A developer shares a cost analysis of their Cursor AI usage with no stated need.</t>
  </si>
  <si>
    <t xml:space="preserve">"I've asked Sonnet 4.5 (Cursor) to generate some stats based on my cursor CSV file usage.
Here it is the output:" / "Projected Monthly Cost: ~$416 (based on average daily spend of $13.86)" / "I've asked Sonnet 4.5 (Cursor) to generate some stats based on my cursor CSV file usage." / "I spent $900 on AI coding agents in 8 weeks"</t>
  </si>
  <si>
    <t>How do you audit your app for compliance?</t>
  </si>
  <si>
    <t>Engineers need to audit in-app access (e.g. admin history) for SOC 2/ISO compliance evidence.</t>
  </si>
  <si>
    <t>"I'm an engineer in Poland with no compliance background, so if you did an audit for your app in the past"</t>
  </si>
  <si>
    <t>Would you use a CLI tool that turns English into local automation workflows?</t>
  </si>
  <si>
    <t>Founder validating a CLI automation tool; no stated problem of their own.</t>
  </si>
  <si>
    <t>"I'm building Viba: a terminal-first automation tool." / "Looking for early users and collaborators to help build out integrations." / "every Monday at 9am, query Postgres and email the CSV to team@" / "Is this something you'd actually use? What integrations would matter most to you?"</t>
  </si>
  <si>
    <t>cron</t>
  </si>
  <si>
    <t>Kiploks Walk-forward validator that tells if your trading bot will lose money</t>
  </si>
  <si>
    <t>Algo traders deploy overfit backtested strategies and lose money without proper walk-forward validation.</t>
  </si>
  <si>
    <t>"What would you want to see in a tool like this?" / "Kiploks does this automatically:"</t>
  </si>
  <si>
    <t>Startup Analysis 2025: Real Data from 50 Companies (Not AI Fiction)</t>
  </si>
  <si>
    <t>No problem stated; author promotes their BI platform through a startup analysis article.</t>
  </si>
  <si>
    <t>"I got tired of "I analyzed X startups with ChatGPT" posts that are pure fiction, so I did a real analysis with actual data sources." / "Happy to answer questions about methodology or specific findings." / "Tool: Built using DashAI (our BI platform) - uploaded CSV, asked questions in natural language, generated interactive charts." / "Tool: Built using DashAI (our BI platform) - uploaded CSV, asked questions in natural language, generated interactive charts."</t>
  </si>
  <si>
    <t>DashAI</t>
  </si>
  <si>
    <t>Building a full data pipeline client-side</t>
  </si>
  <si>
    <t>No problem stated; author promotes their own client-side data analysis tool.</t>
  </si>
  <si>
    <t>"Datastripes... data analysis as a flow Check it: https://datastripes.com" / "Like ObservableHQ but easier Like Excel but smoother Like Tableau but with no-setup" / "Datastripes... data analysis as a flow Check it: https://datastripes.com"</t>
  </si>
  <si>
    <t>Tableau</t>
  </si>
  <si>
    <t>Professional Time Tracking (For Freelancers and Remote Developers)</t>
  </si>
  <si>
    <t>Author promotes a free VS Code time tracking extension; no problem or ask stated.</t>
  </si>
  <si>
    <t>"Designed especially for freelancers and off-site team members, it provides timestamped and hash-secured work records.'" / "Session-based tracking with ISO-8601 timestamps" / "Everything runs locally — no cloud storage, no privacy risk."</t>
  </si>
  <si>
    <t>Toggl</t>
  </si>
  <si>
    <t>How do you manage skills files?</t>
  </si>
  <si>
    <t>Individual AI users struggling to organize, find, and maintain agent skills files.</t>
  </si>
  <si>
    <t>"How do you find skills, keep them organized, and make sure they actually work?"</t>
  </si>
  <si>
    <t>How do you self-host your apps?</t>
  </si>
  <si>
    <t>Self-hosting developers and small teams wanting simpler deployment and management of their apps.</t>
  </si>
  <si>
    <t>"I was also frustrated by the speed of CI/CD runners." / "I'm looking for feedback from people who selfhost their own environment." / "Docker compose files to describe services - Docker swarm as an orchestrator" / "I'm building a tool to simplify deployment and management and make it feel more like a PaaS."</t>
  </si>
  <si>
    <t>Docker Swarm</t>
  </si>
  <si>
    <t>What was it like for programmers when spreadsheets became ubiquitous?</t>
  </si>
  <si>
    <t>No problem; author asks historical discussion questions about spreadsheets and programmers.</t>
  </si>
  <si>
    <t>"For those of you around when spreadsheets were taking off, what was it like?" / "Was there fear that they would eradicate the need for professionally built software?" / "There have been a lot of attempts to move more of programming to end-users" / "Were there people who brushed them off as just toys?"</t>
  </si>
  <si>
    <t>Is AI the New Spreadsheet?</t>
  </si>
  <si>
    <t>No concrete problem; general discussion about AI tools replacing spreadsheets.</t>
  </si>
  <si>
    <t>"Personally, and anecdotally, my spreadsheet use has dropped immensely since starting to use these tools." / "I wonder how much of that is moving over to things like cowork or codex type apps." / "Spreadsheets became and still are prolific for individuals and teams to create simple" / "Personally, and anecdotally, my spreadsheet use has dropped immensely since starting to use these tools."</t>
  </si>
  <si>
    <t>How have you been tracked validated learning?</t>
  </si>
  <si>
    <t>Startup teams struggle to track validated learning and why they pivoted.</t>
  </si>
  <si>
    <t>"Before I assume that's a common pain, I'd rather hear from people who do this stuff more than I." / "Spreadsheets are a bit clunky, Notion seems overkill for this use case" / "Before I assume that's a common pain, I'd rather hear from people who do this stuff more than I."</t>
  </si>
  <si>
    <t>Notion</t>
  </si>
  <si>
    <t>What I learned building an options portfolio tracker for retail traders</t>
  </si>
  <si>
    <t>Active retail options traders struggle to track multi-leg positions, rolls, ROI and risk accurately.</t>
  </si>
  <si>
    <t xml:space="preserve">"Happy to hear feedback — especially from other options traders.
Link: https://optioneer.io" / "So I started building my own tracker as a side project.
It focuses on:"</t>
  </si>
  <si>
    <t>How do you handle personal finance without giving data to third parties?</t>
  </si>
  <si>
    <t>Privacy-conscious individuals want personal finance tracking without sharing data with third parties.</t>
  </si>
  <si>
    <t>"Curious how HN handles this. Do you: - Use a local tool and accept the setup complexity?" / "Firefly III, Actual Budget with full Docker stack" / "I ended up building my own solution (happy to share if there's interest)"</t>
  </si>
  <si>
    <t>Actual Budget</t>
  </si>
  <si>
    <t>Debug Infrastructure for Silicon R&amp;D</t>
  </si>
  <si>
    <t>Small silicon physical design teams spend long debugging logs by manual grep and spreadsheets.</t>
  </si>
  <si>
    <t>"Physical design methodology is always under massive pressure to converge PPA fast without endless debug loops." / "Vortex is helping small, high-velocity silicon teams cut log analysis &amp; root-cause time by 30–50%" / "Vortex is helping small, high-velocity silicon teams cut log analysis &amp; root-cause time by 30–50%"</t>
  </si>
  <si>
    <t>Don't obsess with security and privacy unless they are your core business</t>
  </si>
  <si>
    <t>No concrete problem; essay arguing against spending time on privacy and security hardening.</t>
  </si>
  <si>
    <t>"Don't obsess with security and privacy unless they are your core business" / "If you want to become rich, you should have laser focus on your core business and sacrifice other things like excellent privacy."}'}]" / "Buying things takes infinitely less time than building things from scratch." / "The cost of privacy is extremely high. You need to be okay with rough edges in your computing environment."}'}]"</t>
  </si>
  <si>
    <t>Is GitHub becoming more and more unstable?</t>
  </si>
  <si>
    <t>Dev team lacks trust in GitHub's inconsistent release and diff behavior.</t>
  </si>
  <si>
    <t>"I'm curious to hear if anyone else has been facing such weird issues with GitHub."</t>
  </si>
  <si>
    <t>Is Opus 4.5 scaring the crap out of you as well?</t>
  </si>
  <si>
    <t>Developer sharing opinions on a new LLM's coding capability; no concrete problem stated.</t>
  </si>
  <si>
    <t xml:space="preserve">"I can now one-shot, or two-shot, slightly significant features.
I still review all commits line by line" / "Am I nuts, or is this like a Sonnet 3.5 level step change?" / "Gemini for search grounding, Opus 4.5 for everything else?" / "the difference in the last few months is blowing my mind and scaring me"</t>
  </si>
  <si>
    <t>Opus 4.5</t>
  </si>
  <si>
    <t>How do you keep up with replies to your posts/comments?</t>
  </si>
  <si>
    <t>HN users who post and comment cannot get notified of replies to their posts.</t>
  </si>
  <si>
    <t>"We recently found hnreplies.com which works great for replies to comments (it does email and RSS)."</t>
  </si>
  <si>
    <t>hnreplies.com</t>
  </si>
  <si>
    <t>Tell HN: 1Password 7 final retirement notice</t>
  </si>
  <si>
    <t>Admin of a team using 1Password 7 faces end of sync support.</t>
  </si>
  <si>
    <t>"Thought a few others might be interested, seems to be a staggered message rollout" / "onward to their brave new world I guess, or in my case motivation to finally get serious about Vaultwarden."</t>
  </si>
  <si>
    <t>Vaultwarden</t>
  </si>
  <si>
    <t>Corporate Disconnect Between "Tokenmaxxing" and Token Optimization</t>
  </si>
  <si>
    <t>Enterprise engineers pressured to use AI agents everywhere while lacking understanding and token cost control.</t>
  </si>
  <si>
    <t>"Is anyone else going through this tug of war? How is it going?"</t>
  </si>
  <si>
    <t>Why aren't wet labs more automated?</t>
  </si>
  <si>
    <t>Curious outsider asking why wet labs lack end-to-end automation; no stated problem.</t>
  </si>
  <si>
    <t>"I am curious if anyone who has experience in wet labs can tell me why" / "I am curious if anyone who has experience in wet labs can tell me"</t>
  </si>
  <si>
    <t>Seeking a Remote Collaborator</t>
  </si>
  <si>
    <t>Software engineer seeking a LATAM-based remote collaborator, likely an identity-proxy arrangement.</t>
  </si>
  <si>
    <t>"I am here to look for a remote collaborator from LATAM region I spent my most career as a software engineer" / "Your work will be non technical, simple and easy for you And you will spend up to 2 hours a week"</t>
  </si>
  <si>
    <t>Need free help on an Industry Project?</t>
  </si>
  <si>
    <t>A program coordinator seeks projects for student volunteers; no software-solvable problem is described.</t>
  </si>
  <si>
    <t xml:space="preserve">"Several undergraduate students from Union College,NY will be coming to the Bay Area from March to June for an Innovation study program.
" / "They are available to help non-paid (pref hybrid or on site) in the areas of Software Engineering" / "Please send inquiries to sfromana@gmail.com, or fill out this interest form"</t>
  </si>
  <si>
    <t>Are we as society going to let LLM companies take all the values?</t>
  </si>
  <si>
    <t>Author worries about societal impacts of LLMs; no concrete product-solvable problem.</t>
  </si>
  <si>
    <t>"I've been trying to imagine what the world will look like if we take LLM to its logical conclusion.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" / "What else? If truly this is the logical conclusion of LLM, then it seems to me" / "I am not that young, but I'm not that old."</t>
  </si>
  <si>
    <t>Stripe closed my UAE business account and is withholding $3.5K</t>
  </si>
  <si>
    <t>UAE business owner whose Stripe account was closed with $3.5K withheld, seeking recourse.</t>
  </si>
  <si>
    <t>"If a balance still remains in your account after all reversals have been processed, it will not be made available to you"</t>
  </si>
  <si>
    <t>Stripe</t>
  </si>
  <si>
    <t>How do you sync or migrate KDE settings?</t>
  </si>
  <si>
    <t>KDE users who set up multiple machines and must reconfigure settings by hand each time.</t>
  </si>
  <si>
    <t>"Some options I've seen: Konsave (https://github.com/Prayag2/konsave); KDE Migrant"</t>
  </si>
  <si>
    <t>Konsave</t>
  </si>
  <si>
    <t>ProjectCLI: The Swiss Army Knife CLI for bootstrapping any project</t>
  </si>
  <si>
    <t>Developers juggling many language-specific project generators when bootstrapping new projects</t>
  </si>
  <si>
    <t>"Setting up a new project often requires learning dozens of commands: create-react-app, cargo new, poetry new, laravel new, etc." / "Hi HN, I built ProjectCLI (@dawitworku/projectcli) — a universal interactive CLI for developers who are tired of juggling multiple project generators." / "Remote templates: clone any GitHub starter kit for instant scaffolding." / "Hi HN, I built ProjectCLI (@dawitworku/projectcli) — a universal interactive CLI for developers who are tired of juggling multiple project generators."</t>
  </si>
  <si>
    <t>cookiecutter</t>
  </si>
  <si>
    <t>Have you noticed an improvement in AI responses with memory disabled?</t>
  </si>
  <si>
    <t>Claude subscriber gets worse high-context responses with memory on and loses project memory when off.</t>
  </si>
  <si>
    <t>"Switching to a new chat and condensing the gist of the discussion into a single new prompt yielded superior results"</t>
  </si>
  <si>
    <t>Claude</t>
  </si>
  <si>
    <t>Anyone using AI to write manual SQL instead of using an ORM?</t>
  </si>
  <si>
    <t>Developers weighing whether AI-written raw SQL should replace ORMs in their projects.</t>
  </si>
  <si>
    <t>"This makes me wonder, when working with AI, is an ORM still worth it?" / "Is anyone having their AI write manual SQL instead of having it work through an ORM?" / "One of the things AI is good at is writing tedious and time consuming "mindless" code" / "I'd love to hear your experiences!"</t>
  </si>
  <si>
    <t>ORM</t>
  </si>
  <si>
    <t>Formatting Guidelines for LLM Comments</t>
  </si>
  <si>
    <t>Developer using coding agents wants consistent code comments across different LLMs without manual cleanup.</t>
  </si>
  <si>
    <t>"What I want is a clean, consistent format with strict guidelines on what, and importantly what not, to comment, that works for all LLMs."</t>
  </si>
  <si>
    <t>system prompt</t>
  </si>
  <si>
    <t>We are building the Flutter equivalent to RN's Ignite CLI</t>
  </si>
  <si>
    <t>Flutter developers face tedious project setup; authors are promoting their own CLI for feedback.</t>
  </si>
  <si>
    <t>"Would be happy to hear any thoughts about the architecture, code, or concept in general." / "Even though there exist some alternatives, our long term vision is to build something like" / "My friend and I are working on a CLI tool called fip-cli in Dart."</t>
  </si>
  <si>
    <t>Ignite CLI</t>
  </si>
  <si>
    <t>How locked down are your work machines?</t>
  </si>
  <si>
    <t>Software engineer frustrated by corporate IT lockdown of machines and extensions.</t>
  </si>
  <si>
    <t>"How big of a company do you work for, what industry, and how locked down is your machine?"</t>
  </si>
  <si>
    <t>What would make you switch from Gmail to self-hosted email?</t>
  </si>
  <si>
    <t>Self-hosted email server author researching barriers to adoption; no personal problem.</t>
  </si>
  <si>
    <t>"what would it actually take for you to self-host? Not trying to convince anyone, genuinely curious about the decision-making here.]]]]" / "Google/Microsoft just works" / "I've been running my own email server for the past month (https://github.com/fenilsonani/email-server)"</t>
  </si>
  <si>
    <t>Google Workspace</t>
  </si>
  <si>
    <t>Looking for software with fair pricing practices</t>
  </si>
  <si>
    <t>Author running a directory project wants nominations of fairly priced software tools.</t>
  </si>
  <si>
    <t>G3 not trivial, G4 author has it</t>
  </si>
  <si>
    <t>"I analyze them manually and create a place for people to find them." / "I am starting a small project to collect tools with fair pricing (no misleading UI, easy cancelation, data export...)."</t>
  </si>
  <si>
    <t>Does anyone believe role-play AI is effective for training?</t>
  </si>
  <si>
    <t>Founders of Socratize seek feedback on their AI role-play training product launch.</t>
  </si>
  <si>
    <t>G1 current, G3 not trivial</t>
  </si>
  <si>
    <t>"Most corporate training is passive. People watch content, click through slides, pass a quiz, and forget most of it within days." / "We built Socratize, an AI-based training tool where employees practice real workplace scenarios instead of watching videos or taking quizzes."</t>
  </si>
  <si>
    <t>Socratize</t>
  </si>
  <si>
    <t>My indie app was named too close to competitors and I burnt my fingers</t>
  </si>
  <si>
    <t>Solo indie developer lost organic traffic after a forced rebrand over trademark conflicts.</t>
  </si>
  <si>
    <t>"Lesson learnt: to be careful not to name your products too close to established products.]]"</t>
  </si>
  <si>
    <t>Would you use alternative to ChatGPT $0 cost and it's better/smarter?</t>
  </si>
  <si>
    <t>Founder polling whether people would use a free ChatGPT alternative; no real problem.</t>
  </si>
  <si>
    <t>"Would you use alternative to ChatGPT $0 cost and it's better/smarter?" / "Assuming it exists? in addition: if it's without phone app just windows app" / "Would you use alternative to ChatGPT $0 cost and it's better/smarter?" / "is this super retro these days and everyone wants iOS and android?"</t>
  </si>
  <si>
    <t>ChatGPT</t>
  </si>
  <si>
    <t>Some Sensible Alternative to Openrouter?</t>
  </si>
  <si>
    <t>Physics teacher wants a simple, reliable, low-volume LLM chatbot service with clear pricing.</t>
  </si>
  <si>
    <t>"I'd need the service to be readily usable i.e., to provide an internal chatbot"</t>
  </si>
  <si>
    <t>Local iOS voice to text app (alternative to Wispr Flow)</t>
  </si>
  <si>
    <t>Heavy dictation users wanting private, local, subscription-free voice-to-text; author is promoting their own app.</t>
  </si>
  <si>
    <t>"So I built an iOS app, a MacOS app and an Android app." / "I am happy to offer the app for free to people who offer useful feedback for the test flight" / "until recently used Wispr Flow on my personal devices" / "I am happy to offer the app for free to people who offer useful feedback for the test flight"</t>
  </si>
  <si>
    <t>Wispr Flow</t>
  </si>
  <si>
    <t>Alternatives to Claude (Code)?</t>
  </si>
  <si>
    <t>Developer seeking better AI coding model and tooling alternatives to Claude Code.</t>
  </si>
  <si>
    <t>"Also looking for nice Opencode plugins, skills, completion providers (alternative to Cursor that I could use with Zen)"</t>
  </si>
  <si>
    <t>Wayland, Pipewire, Open Source Slowly Closing?</t>
  </si>
  <si>
    <t>A hobbyist Linux composer wants a stable distro without Wayland/Pipewire that has MuseScore 2.</t>
  </si>
  <si>
    <t>"Something stable; and wouldn't require too much maintainance... If there is a Arch variation with GUI install that would be the best."</t>
  </si>
  <si>
    <t>Linux distro</t>
  </si>
  <si>
    <t>Instance segmentation model that extracts 3D geometry from 2D floor plans</t>
  </si>
  <si>
    <t>PropTech and virtual staging startups manually enter floor plan geometry data for 3D rendering.</t>
  </si>
  <si>
    <t>"If you are in the PropTech or you are building a product that could benefit from embedding this model, I would love to chat." / "I built this specifically as an extraction engine to sit underneath those UIs."</t>
  </si>
  <si>
    <t>How do you use SAP in the AI age?</t>
  </si>
  <si>
    <t>SAP users without ABAP rights do slow manual queries and mass data entry.</t>
  </si>
  <si>
    <t>"Even for mass data entry I am using Power Automate to record clicks and keystrokes."</t>
  </si>
  <si>
    <t>Power Automate</t>
  </si>
  <si>
    <t>YouTube Comments in .csv</t>
  </si>
  <si>
    <t>Developer promoting a YouTube comments-to-CSV tool, not describing a problem of their own.</t>
  </si>
  <si>
    <t>"please check it out I want feedback: link: https://pelicantools.app/tools/youtube-comments have a good day :)" / "download youtube comments and have them clean and pretty in a spreadsheet" / "hey there, Im developing this tool to download youtube comments and have them clean and pretty in a spreadsheet."</t>
  </si>
  <si>
    <t>Exportcomments</t>
  </si>
  <si>
    <t>Leveraging OPFS in WASM for 10GB+ Data Processing in Datastripes</t>
  </si>
  <si>
    <t>Product announcement by Datastripes team; no one describes a problem needing a solution.</t>
  </si>
  <si>
    <t>"Thus, we must suggest OPFS as the core of any data intensive client-side systems!" / "We just shipped a major architectural upgrade: our Datastripes database core (compiled to WASM)"</t>
  </si>
  <si>
    <t>Open source AI diagram generator (Draw.io, Mermaid)</t>
  </si>
  <si>
    <t>Developer launching an open-source AI diagram tool, not stating a personal problem.</t>
  </si>
  <si>
    <t>"most AI diagramming tools generate static images (PNG/JPG). If the AI gets one detail wrong, you can't easily fix it" / "I'd love to hear your feedback or see your PRs!" / "I wanted a tool that generates editable code and renders it interactively. So I built DeepDiagram."</t>
  </si>
  <si>
    <t>Mermaid</t>
  </si>
  <si>
    <t>Built a local-first crypto P&amp;L and TurboTax Online export tool (open source)</t>
  </si>
  <si>
    <t>Crypto traders struggling to import accurate transaction data into TurboTax Online for taxes.</t>
  </si>
  <si>
    <t>"I ran into a lot of issues getting accurate crypto transaction data into TurboTax Online this year" / "Sharing in case it's useful to anyone else dealing with the same mess" / "I ended up building a small open-source tool that: computes FIFO cost basis locally" / "I ended up building a small open-source tool that: computes FIFO cost basis locally"</t>
  </si>
  <si>
    <t>Koinly</t>
  </si>
  <si>
    <t>Why do editors still struggle with long lines?</t>
  </si>
  <si>
    <t>Developers editing CSVs or minified files with very long lines see sluggish editors.</t>
  </si>
  <si>
    <t>"Why do editors still struggle with long lines?" / "I was recently working with a csv with 50 columns, and each value was a bit long."</t>
  </si>
  <si>
    <t>How do you manage your digital legacy for after you die?</t>
  </si>
  <si>
    <t>An individual planning digital estate access for his wife after his death.</t>
  </si>
  <si>
    <t>"I have password manager, so I pass this to my wife it can be easy to reach the profiles"</t>
  </si>
  <si>
    <t>password manager</t>
  </si>
  <si>
    <t>Bloggers, how do you manage your content?</t>
  </si>
  <si>
    <t>Aspiring personal blogger wants a WYSIWYG writing workflow on a self-hosted site with custom styling.</t>
  </si>
  <si>
    <t>"I think Substack is a good option, but I would like more control over styling"</t>
  </si>
  <si>
    <t>Ghost</t>
  </si>
  <si>
    <t>How do you manage too many open tabs?</t>
  </si>
  <si>
    <t>Browser users with too many open tabs and windows</t>
  </si>
  <si>
    <t>"We all have many open windows and tabs."</t>
  </si>
  <si>
    <t>OneTab</t>
  </si>
  <si>
    <t>How do you manage distribution after building?</t>
  </si>
  <si>
    <t>A solo builder with a finished app doesn't know how to find users or validate demand.</t>
  </si>
  <si>
    <t>"I built a slack message to code-fix app, so that you just paste the slack message"</t>
  </si>
  <si>
    <t>How do you manage integrations at scale?</t>
  </si>
  <si>
    <t>Teams managing growing numbers of system integrations; author only curious, no stated problem.</t>
  </si>
  <si>
    <t>"at what point did it become a real problem for you?" / "Curious how teams handle integrations as they grow and start relying on multiple systems" / "Curious how teams handle integrations as they grow and start relying on multiple systems"</t>
  </si>
  <si>
    <t>How do you manage secrets with many agents?</t>
  </si>
  <si>
    <t>Developer running multiple AI coding agents in separate project clones cannot keep secrets in sync.</t>
  </si>
  <si>
    <t>"There HAS to be a solution for this and symlinking key file to ../secrets doesn't work"</t>
  </si>
  <si>
    <t>Doppler</t>
  </si>
  <si>
    <t>How do you manage cloud access for your team without a VPN?</t>
  </si>
  <si>
    <t>Small team lead needs cloud access control without VPN overhead or brittle static IP whitelists.</t>
  </si>
  <si>
    <t>"I'm building in this space and want to understand real-world approaches before assuming my solution is the right one."}]"</t>
  </si>
  <si>
    <t>How do you manage the gap between team chat and real work?</t>
  </si>
  <si>
    <t>Founder of a small dev team loses tasks between Slack decisions and Notion pages.</t>
  </si>
  <si>
    <t>"conversations happen in one place, tasks live in another, and there's no connection between them"</t>
  </si>
  <si>
    <t>How do you manage your startup's?</t>
  </si>
  <si>
    <t>Founders lacking an operations manager juggle multiple tools; post is a promotion.</t>
  </si>
  <si>
    <t>"We are giving Free Access To Kobin Ai" / "tired of switching between tab's and paying for multiple tool's" / "We are giving Free Access To Kobin Ai to people"</t>
  </si>
  <si>
    <t>How do you manage curl commands in your workflow?</t>
  </si>
  <si>
    <t>Developers who reuse curl commands across auth and environments (author is only researching).</t>
  </si>
  <si>
    <t>"I'm exploring curl automation and curious about developer pain points." / "Would an AI curl assistant be useful? Appreciate any insights!" / "Do you save/reuse curl commands?" / "I'm exploring curl automation and curious about developer pain points."</t>
  </si>
  <si>
    <t>Postman</t>
  </si>
  <si>
    <t>Have you managed to switch to Bluesky for tech people?</t>
  </si>
  <si>
    <t>A tech professional wants a quality social feed of tech personalities outside X.</t>
  </si>
  <si>
    <t>"I tried to signup to Bluesky, but there are not a lot of my favorite tech personalities"</t>
  </si>
  <si>
    <t>Bluesky</t>
  </si>
  <si>
    <t>How do you handle payments for AI agents?</t>
  </si>
  <si>
    <t>Developers building AI agents that call APIs need billing, spending limits, and usage tracking.</t>
  </si>
  <si>
    <t>"If you're building AI agents that call APIs: How do you manage:"</t>
  </si>
  <si>
    <t>What tools do you wish existed?</t>
  </si>
  <si>
    <t>No specific problem; author polls for general tool ideas people would pay for.</t>
  </si>
  <si>
    <t>"Is there a tool out there for anyone, that doesn't already exist, that you would pay for?" / "What tools do you wish existed?" / "Is there a tool out there for anyone, that doesn't already exist, that you would pay for?"</t>
  </si>
  <si>
    <t>Where does operational truth live before it reaches "systems of record"?</t>
  </si>
  <si>
    <t>Quality and ops teams in asset-heavy industries struggle to reconstruct events from scattered notes, photos, and emails.</t>
  </si>
  <si>
    <t>"Would appreciate any firsthand experiences or counterexamples." / "I’m not selling anything or looking to promote a tool."</t>
  </si>
  <si>
    <t>How do you think about financial runway before quitting?</t>
  </si>
  <si>
    <t>Individual considering a job change wants clarity on financial runway under different scenarios.</t>
  </si>
  <si>
    <t>"Do you run detailed spreadsheets? Do you assume a conservative burn rate?" / "I am exploring this problem and building something simple around scenario based runway calculations"</t>
  </si>
  <si>
    <t>Test Management as Code (TMaC): Is This the Next Shift After Everything as Code?</t>
  </si>
  <si>
    <t>Test teams manage plans and traceability in spreadsheets instead of version-controlled code.</t>
  </si>
  <si>
    <t>"What if test plans, traceability, risk mapping, and coverage were defined version controlled like code?" / "So why is test management still stuck in spreadsheets and external tools?" / "Is This the Next Shift After Everything as Code?"</t>
  </si>
  <si>
    <t>Thinking out loud AI and Cancer Cure</t>
  </si>
  <si>
    <t>Casual poster musing why AI hasn't cured cancer; no actual business problem.</t>
  </si>
  <si>
    <t>"call to the super geniuses who are also scientists please find a cure!!" / "I use my AI good for making dashboards and looking at spreadsheets" / "Anyone else ever think how every week there's another article and news story about how advanced AI is getting"</t>
  </si>
  <si>
    <t>What do you ask AI to do with your files?</t>
  </si>
  <si>
    <t>Researcher surveying non-coders about AI file tasks; no problem of their own stated.</t>
  </si>
  <si>
    <t>"What was the last multi-step task you gave AI involving your files? Did you get what you wanted?" / "I'm researching how people who don't code use AI tools for multi-step work on their actual files" / "I'm researching how people who don't code use AI tools for multi-step work on their actual files"</t>
  </si>
  <si>
    <t>How do you compare cloud and AI costs across providers?</t>
  </si>
  <si>
    <t>Cloud and AI teams cannot easily compare what a workload would cost across providers.</t>
  </si>
  <si>
    <t>"Curious how people here handle this today. Do you rely on internal tooling, spreadsheets, or something else?"</t>
  </si>
  <si>
    <t>Turned a simple idea with friends into an actual app</t>
  </si>
  <si>
    <t>University students wanting to rank food spots with friends; author is promoting their own app.</t>
  </si>
  <si>
    <t>"If this sounds fun or useful, I'd love if you checked it out → getcravit.com Any feedback is super appreciated!" / "we ended up creating random notes, spreadsheets, IG saves… nothing that made the experience fun or organized."</t>
  </si>
  <si>
    <t>Can a node-based data flow engine be a new way of doing analysis?</t>
  </si>
  <si>
    <t>Founders promoting a node-based data analysis tool; no stated user problem.</t>
  </si>
  <si>
    <t>"Can a node-based data flow engine be a new way of doing analysis?" / "We're all accustomed to data analysis done on spreadsheets or through code." / "We tried to experiment, focusing entirely on privacy and ease of use"</t>
  </si>
  <si>
    <t>Are there any developers prefer writing code manually?</t>
  </si>
  <si>
    <t>A developer feels AI-assisted coding reduces enjoyment and code understanding.</t>
  </si>
  <si>
    <t>"Do you guys have the same issue?" / "it's taking the joy of coding away"</t>
  </si>
  <si>
    <t>Do you still trace new codebases manually?</t>
  </si>
  <si>
    <t>Developers dropping into large unfamiliar codebases struggle to build a detailed mental model of execution flow.</t>
  </si>
  <si>
    <t>"I usually ask an LLM to map out a feature and give me a tour"</t>
  </si>
  <si>
    <t>Sourcegraph</t>
  </si>
  <si>
    <t>There are 67 items to manually delete in Google My-Activity</t>
  </si>
  <si>
    <t>A Google user must manually delete activity across 67 separate places.</t>
  </si>
  <si>
    <t>"Why is there no one button to delete my activity?" / "Why is there no one button to delete my activity?"</t>
  </si>
  <si>
    <t>Google My Activity auto-delete</t>
  </si>
  <si>
    <t>How Containers Work: Building Container Networking from Scratch</t>
  </si>
  <si>
    <t>Author shares a tutorial and seeks feedback; no stated problem.</t>
  </si>
  <si>
    <t>"Instead of treating container networking as a black box" / "I wrote a deep dive on how container networking actually works"</t>
  </si>
  <si>
    <t>Docker</t>
  </si>
  <si>
    <t>Tell HN: AI lies about having sandbox guardrails</t>
  </si>
  <si>
    <t>Developers using AI coding agents get misleading claims about sandbox guardrails that are not enforced.</t>
  </si>
  <si>
    <t>"Of course devs should not buy false senses of security from llms."</t>
  </si>
  <si>
    <t>Why is Slack allowed to get away with lying?</t>
  </si>
  <si>
    <t>Slack user frustrated by delayed messages and a status page claiming 100% uptime.</t>
  </si>
  <si>
    <t>"This shouldn't be allowed."</t>
  </si>
  <si>
    <t>Strangest or most unexpected behavior you've seen from GitHub Copilot?</t>
  </si>
  <si>
    <t>Developer shares an amusing Copilot ask-mode hallucination; no real need or ask stated.</t>
  </si>
  <si>
    <t>"I had to remind it was in Ask mode and then it apologized." / "Strangest or most unexpected behavior you've seen from GitHub Copilot?" / "Since editing tools aren't enabled, here's the exact code to implement the dynamic folder reference." / "I was just in ask mode and asked GitHub Copilot (w/Grok code) to update a Docker file"</t>
  </si>
  <si>
    <t>GitHub Copilot</t>
  </si>
  <si>
    <t>Tell HN: Instagram Web has been broken for weeks</t>
  </si>
  <si>
    <t>Instagram web users cannot open shared Reel links; platform bug unresolved for weeks.</t>
  </si>
  <si>
    <t>"The only workaround is to manually change the link to `/p/{post_id}` and open it as a post"</t>
  </si>
  <si>
    <t>workaround</t>
  </si>
  <si>
    <t>Is Antigravity code search dropping results recently?</t>
  </si>
  <si>
    <t>A developer using Antigravity code search gets incomplete results, missing call sites.</t>
  </si>
  <si>
    <t>"The code that actually called the function was completely missing."</t>
  </si>
  <si>
    <t>Antigravity</t>
  </si>
  <si>
    <t>Tell HN: YouTube history setting privacy implications</t>
  </si>
  <si>
    <t>YouTube viewers whose auto-delete setting skips likes, dislikes and comments.</t>
  </si>
  <si>
    <t>"One has to manually go https://myactivity.google.com/page?page=youtube_comment_likes to delete Your Likes and Dislikes on YouTube" / "One has to manually go https://myactivity.google.com/page?page=youtube_comment_likes to delete Your Likes and Dislikes on YouTube"</t>
  </si>
  <si>
    <t>Google My Activity</t>
  </si>
  <si>
    <t>What's the most boring/frustrating/tedious part of your day?</t>
  </si>
  <si>
    <t>No specific problem; author is polling others about tedious parts of their day.</t>
  </si>
  <si>
    <t>"What's the most boring/frustrating/tedious part of your day?" / "Have you looked into alternatives?" / "What makes it the most boring/frustrating/tedious part?"</t>
  </si>
  <si>
    <t>Have LLMs made anyone's life substantially better?</t>
  </si>
  <si>
    <t>Software engineer frustrated by AI-driven workload, job insecurity, and declining code quality.</t>
  </si>
  <si>
    <t>"Have LLMs made anyone's life substantially better?"</t>
  </si>
  <si>
    <t>Where are the innovations happening today?</t>
  </si>
  <si>
    <t>Curious reader wants to know where tech innovation is happening outside AI hype.</t>
  </si>
  <si>
    <t>"What great products are being built we're not hearing about?" / "Where are the innovations happening today?"</t>
  </si>
  <si>
    <t>Suggest HN: Change posting rules to reduce bot spam</t>
  </si>
  <si>
    <t>Hacker News users and moderators face bot spam flooding the New submissions page.</t>
  </si>
  <si>
    <t>"this rule can be implemented very quickly, so easy to do once it becomes unbearable"</t>
  </si>
  <si>
    <t>Flag/gray out comments complaining about AI/LLM use in posts/comments?</t>
  </si>
  <si>
    <t>A forum user is annoyed by repetitive comments complaining about AI-generated content.</t>
  </si>
  <si>
    <t>"Flag/gray out comments complaining about AI/LLM use in posts/comments?" / "Flag/gray out comments complaining about AI/LLM use in posts/comments?"</t>
  </si>
  <si>
    <t>flagging</t>
  </si>
  <si>
    <t>Termux vs. Terminal on Pixel 10</t>
  </si>
  <si>
    <t>Android user finds the native Terminal app crashes and has poor display output on Pixel 10.</t>
  </si>
  <si>
    <t>"Hoping with Android 17 launch, it gets better. Care to share your experience?" / "while termux is performing amazing, like natively opening the browser for auth, speed etc."</t>
  </si>
  <si>
    <t>Termux</t>
  </si>
  <si>
    <t>How did you improve agent's output readability?</t>
  </si>
  <si>
    <t>Developers using Claude agents find its output hard to read and want better prompting fixes.</t>
  </si>
  <si>
    <t>"Asking it to use ASD-STE100 improved things a bit but it's still not perfect."</t>
  </si>
  <si>
    <t>CLAUDE.md</t>
  </si>
  <si>
    <t>Sick of waiting for agents to run and then having to debug</t>
  </si>
  <si>
    <t>Engineers using Claude Code wait on agents and manually verify pre-production E2E results.</t>
  </si>
  <si>
    <t>"I have setup rules to do this and it works to an extent"</t>
  </si>
  <si>
    <t>Navigating the filesystem and Git with single key presses</t>
  </si>
  <si>
    <t>Termux Android user finds typing Linux and git commands tedious on a phone.</t>
  </si>
  <si>
    <t>"If you know of any other utilities like this, would love to hear about them." / "I've been using this Python script to make common filesystem and git operations available at single key presses" / "I've been using this Python script to make common filesystem and git operations available at single key presses"</t>
  </si>
  <si>
    <t>git-menu</t>
  </si>
  <si>
    <t>Open Game Development</t>
  </si>
  <si>
    <t>Live service game developers face tedious maintenance-stage content updates while players want more content.</t>
  </si>
  <si>
    <t>"I believe the solution is an open model of game development." / "I believe the solution is an open model of game development."</t>
  </si>
  <si>
    <t>The Nobility of the Composing Stick</t>
  </si>
  <si>
    <t>No concrete problem; an editor's satirical opinion piece defending hand-set typesetting against rotary presses.</t>
  </si>
  <si>
    <t>"Rest easy, gentlemen. As long as I draw breath, we will not pivot to "Steam-Publishing."=" / "Back to the cases, lads. The future is manual.=" / "Speed is the enemy of Truth." / "Let the rabble have their steam.="</t>
  </si>
  <si>
    <t>Any tools for managing multi Claude Code instances?</t>
  </si>
  <si>
    <t>Developer running ~10 Claude Code instances must manually reopen and resume each after a restart.</t>
  </si>
  <si>
    <t>"1. Open iTerm 2. cd to paths 3. type claude 4. /resume 5. select"</t>
  </si>
  <si>
    <t>tmux</t>
  </si>
  <si>
    <t>Would you fly on a Boeing 737 MAX?</t>
  </si>
  <si>
    <t>Anxious flyer afraid of boarding a Boeing 737 MAX seeking others' opinions.</t>
  </si>
  <si>
    <t>"Perhaps I'm behaving irrationally due to fear, but with all the news surrounding Boeing's quality control"</t>
  </si>
  <si>
    <t>Railtracks</t>
  </si>
  <si>
    <t>Developer promoting an open-source agent framework, seeking design feedback on state management and observability.</t>
  </si>
  <si>
    <t>"So I built Railtracks. It’s an open-source Python library designed to build complex agents entirely in Python.','" / "I’d love for you to break Railtracks and tell me what’s wrong with the design.'" / "I absolutely loved the concept of a layer that handles the orchestration and plumbing of agentic flows" / "So I built Railtracks. It’s an open-source Python library designed to build complex agents entirely in Python.'"</t>
  </si>
  <si>
    <t>LangGraph</t>
  </si>
  <si>
    <t>Which LLM has the best "study and learn" functionality?</t>
  </si>
  <si>
    <t>Individual learner seeking the best LLM for AI tutoring and study.</t>
  </si>
  <si>
    <t>"I've settled on Claude for the moment but, I'm wondering if anyone has done extensive tutoring"</t>
  </si>
  <si>
    <t>What if users start cloning SaaS using AI</t>
  </si>
  <si>
    <t>General discussion about AI cloning threatening SaaS businesses; no specific person with a problem.</t>
  </si>
  <si>
    <t>"There is a trend that is just starting: People are cloning softwares and websites using Ai(fable 5 is doing great)" / "what do you think what things would protect businesses from this in future?" / "if i can clone smth easily using ai, why i would pay for it?"</t>
  </si>
  <si>
    <t>Ergo wireless keyboard with mouse for coding?</t>
  </si>
  <si>
    <t>Individual coder seeking an out-of-box wireless ergo keyboard with built-in mouse.</t>
  </si>
  <si>
    <t>"I was looking at the cybord imprint [1] and the kinese advantage 360 [2]"</t>
  </si>
  <si>
    <t>Cyboard Imprint</t>
  </si>
  <si>
    <t>Alternatives to Clay for Enrichment?</t>
  </si>
  <si>
    <t>Sales prospector finds Clay enrichment credits too expensive for emails, tech stack, and hiring signals.</t>
  </si>
  <si>
    <t>"I saw some show hns for clay alternatives awhile ago"</t>
  </si>
  <si>
    <t>Apollo</t>
  </si>
  <si>
    <t>How do you use AI coding harnesses for individual development?</t>
  </si>
  <si>
    <t>Indie developers unsure how to compare flat-plan versus API costs for AI coding tools.</t>
  </si>
  <si>
    <t>"I use humanlayer which uses the claude code go binary with the max/pro plan. My costs are capped."</t>
  </si>
  <si>
    <t>Would you use Hive-simpler AI agents?</t>
  </si>
  <si>
    <t>Small teams find existing AI agent platforms too expensive and complex.</t>
  </si>
  <si>
    <t>"Existing platforms are too expensive and complex for small teams." / "Would you use this? Feedback appreciated."</t>
  </si>
  <si>
    <t>Which cloud service to use for overpass API?</t>
  </si>
  <si>
    <t>Hobbyist developer needs cheap cloud hosting for an 80GB Overpass API instance.</t>
  </si>
  <si>
    <t>"what cloud service is best to use for testing purposes?"</t>
  </si>
  <si>
    <t>AWS</t>
  </si>
  <si>
    <t>What's the best alternative to Dragon NaturallySpeaking?</t>
  </si>
  <si>
    <t>A Windows user wants voice control software to replace Dragon NaturallySpeaking.</t>
  </si>
  <si>
    <t>"Looking for windows software that replaces the need for keyboard and mouse and lets me control Windows"</t>
  </si>
  <si>
    <t>Windows Voice Access</t>
  </si>
  <si>
    <t>Alternative to Internet Archive</t>
  </si>
  <si>
    <t>Independent musician needs free, unlimited, easy bulk hosting for albums, books, and films, replacing flaky Internet Archive.</t>
  </si>
  <si>
    <t>"I would simply P2P my music on nicotine+ or even have a server for my music."</t>
  </si>
  <si>
    <t>Bandcamp</t>
  </si>
  <si>
    <t>European alternative to Vercel/Cloudflare for hosting</t>
  </si>
  <si>
    <t>A developer wants a European-based Vercel/Cloudflare-like hosting and CDN provider.</t>
  </si>
  <si>
    <t>"I’m looking for a hosting/CDN solution that’s similar to Vercel or Cloudflare Pages/Workers"</t>
  </si>
  <si>
    <t>Hetzner</t>
  </si>
  <si>
    <t>How long until solid decentralized alternative to Instagram?</t>
  </si>
  <si>
    <t>General social media users wanting a decentralized Instagram alternative with more adoption.</t>
  </si>
  <si>
    <t>"Any thoughts on main blockers and near-to-medium future developments on this matter?" / "I know about Pixelfed, but it doesn't seem to have gained much traction." / "I feel like the world very much needs a decentralized, censorship-free alternative to Instagram."</t>
  </si>
  <si>
    <t>Pixelfed</t>
  </si>
  <si>
    <t>Is there any good open-source alternative to MinIO?</t>
  </si>
  <si>
    <t>Self-hosting user needs an open-source S3-compatible storage replacing MinIO.</t>
  </si>
  <si>
    <t>"something that does the same, but more friendly to FOSS, would be great!"</t>
  </si>
  <si>
    <t>Garage</t>
  </si>
  <si>
    <t>Is there a better alternative to email?</t>
  </si>
  <si>
    <t>Teams lose important email threads as new messages bury older content.</t>
  </si>
  <si>
    <t>"Is there a better alternative to email?"</t>
  </si>
  <si>
    <t>Slack</t>
  </si>
  <si>
    <t>Kamunity.com (.eu .se) European alternative to Reddit</t>
  </si>
  <si>
    <t>Author promoting a European Reddit alternative; no concrete user problem or request stated.</t>
  </si>
  <si>
    <t>"How important is it to you that the platforms you participate in are European" / "Kamunity.eu is an experiment in that direction: a community platform built in Europe, for Europeans"</t>
  </si>
  <si>
    <t>Ask: What's the SSL gateway alternative to CF?</t>
  </si>
  <si>
    <t>Someone needs an SSL termination gateway alternative to Cloudflare with ACME and subdomain proxying.</t>
  </si>
  <si>
    <t>"automatic ACME certificate rollover and HTTP reverse-proxy rules per subdomain"</t>
  </si>
  <si>
    <t>Caddy</t>
  </si>
  <si>
    <t>What self-hosted apps do you use daily?</t>
  </si>
  <si>
    <t>No problem; a homelab hobbyist asking others for favorite self-hosted apps.</t>
  </si>
  <si>
    <t>"I'm super curious to hear about the apps you can't live without!" / "I'm super curious to hear about the apps you can't live without!" / "Shlink: URL shortener/redirects, alternative to Bitly Vaultwarden: open source Bitwarden server" / "I've been running a homelab for many years now and tried out many open source projects."</t>
  </si>
  <si>
    <t>Shlink</t>
  </si>
  <si>
    <t>Alternatives to Fail2ban?</t>
  </si>
  <si>
    <t>Sysadmin wants a single-binary ssh brute-force blocker instead of fail2ban.</t>
  </si>
  <si>
    <t>"blocking dictionary attacks against ssh is all I need."</t>
  </si>
  <si>
    <t>sshguard</t>
  </si>
  <si>
    <t>How do you market Open Source Software?</t>
  </si>
  <si>
    <t>A software team going open source needs marketing to reach its target market.</t>
  </si>
  <si>
    <t>"We are planning to move our software from closed to open source"</t>
  </si>
  <si>
    <t>Interesting topics to research around online advertisement?</t>
  </si>
  <si>
    <t>A master's student needs a thesis topic in online advertising research.</t>
  </si>
  <si>
    <t>"I am soon writing a Master's thesis, and I am looking for ideas for interesting research avenues" / "I am soon writing a Master's thesis, and I am looking for ideas for interesting research avenues"</t>
  </si>
  <si>
    <t>What's a good format to submit CSV data for LLMs?</t>
  </si>
  <si>
    <t>Individual wants to feed 1000 CSV rows to an LLM for trend analysis without token bloat.</t>
  </si>
  <si>
    <t>"I need to submit like 1000 rows of data to an llm so I can ask it for trends"</t>
  </si>
  <si>
    <t>Pandas to Polars migration, from 200s timeouts to under 4s. Anyone else?</t>
  </si>
  <si>
    <t>Developer of a CSV cleaning project seeking migration edge-case experiences with Polars</t>
  </si>
  <si>
    <t>"Has anyone else made this migration in a production app?" / "After migrating to Polars and adding in-memory DataFrame caching" / "I built a small project that cleans CSV files for ML and data analysis."</t>
  </si>
  <si>
    <t>Polars</t>
  </si>
  <si>
    <t>Is archive.org a good place for structured data?</t>
  </si>
  <si>
    <t>Dataset creator wants a permanent, authoritative home for a curated CSV/JSON dataset.</t>
  </si>
  <si>
    <t>"Could archive.org be thought of as a place for raw assembled/authoritative data"</t>
  </si>
  <si>
    <t>archive.org</t>
  </si>
  <si>
    <t>LM Studio Bionic with Python?</t>
  </si>
  <si>
    <t>LM Studio user cannot install pandas in Bionic's embedded Python to analyze CSVs.</t>
  </si>
  <si>
    <t>"If you can't even analyze CSV files, what good is this?" / "there is no way to even install pandas"</t>
  </si>
  <si>
    <t>pandas</t>
  </si>
  <si>
    <t>How do you manage quality when AI write code faster than humans can review it?</t>
  </si>
  <si>
    <t>Engineering team lead struggling to keep code quality as AI-generated code outpaces human review.</t>
  </si>
  <si>
    <t>"How do you manage quality when AI write code faster than humans can review it?"</t>
  </si>
  <si>
    <t>GitHub Copilot code review</t>
  </si>
  <si>
    <t>How do you manage your child's screen time?</t>
  </si>
  <si>
    <t>Single parent wants guidance and enforcement for a teenager's screen time.</t>
  </si>
  <si>
    <t>"I’m finding Apple’s parental controls leave a lot to be desired."</t>
  </si>
  <si>
    <t>Apple Screen Time</t>
  </si>
  <si>
    <t>How do you manage context window?</t>
  </si>
  <si>
    <t>Claude Code users want to carry session context forward without burning tokens.</t>
  </si>
  <si>
    <t>"so i made an MCP server that does session recap through different models, and spits back a small summary to keep things on track."</t>
  </si>
  <si>
    <t>How do you manage knowledge you accumulate as a developer?</t>
  </si>
  <si>
    <t>Developers cannot retrieve their own written notes and past solutions via keyword search.</t>
  </si>
  <si>
    <t>"Notion, Obsidian, plain files, GitHub wikis, Confluence — all have the same issue: search is keyword-based" / "I've talked to ~20 developers over the past week and the pattern I keep seeing is:"</t>
  </si>
  <si>
    <t>How do you manage dev/PR/staging databases?</t>
  </si>
  <si>
    <t>Unclear; developers managing dev/PR/staging databases, author only polls others</t>
  </si>
  <si>
    <t>"Do you use e.g. pg_dump/restore? What's your DB size &amp; team size?" / "Is it working fine? Any pain points?" / "Do you use e.g. pg_dump/restore?"</t>
  </si>
  <si>
    <t>pg_dump</t>
  </si>
  <si>
    <t>How do you manage content for React-based websites?</t>
  </si>
  <si>
    <t>Developer curious about content management stacks for React sites; no concrete problem stated.</t>
  </si>
  <si>
    <t xml:space="preserve">"I've been exploring modern publishing workflows for React applications.
Curious how others solve:" / "Curious how others solve: - content management - editors - frontend separation - deployment What is your current stack?" / "content management - editors - frontend separation - deployment" / "I've been exploring modern publishing workflows for React applications."</t>
  </si>
  <si>
    <t>Contentful</t>
  </si>
  <si>
    <t>How do you do CI/CD in 2025?</t>
  </si>
  <si>
    <t>Unspecified author asking general discussion about CI/CD tooling practices.</t>
  </si>
  <si>
    <t>"How do you manage deploying to different environments? How do you implement artifacts versioning?" / "What tools and platforms are you using?" / "What tools and platforms are you using?" / "Also having some context would be interesting, e.g. company and team size."</t>
  </si>
  <si>
    <t>GitHub Actions</t>
  </si>
  <si>
    <t>What is the best way to preserve, and continue to use chats in Claude?</t>
  </si>
  <si>
    <t>Individual Claude users lose chats and cannot reliably archive, search, or resume conversations.</t>
  </si>
  <si>
    <t>"I have now looked around and find all kinds of ways to save the chats locally or on online services."</t>
  </si>
  <si>
    <t>Claude data export</t>
  </si>
  <si>
    <t>Are you paying for Lovable / Replit / Base44?</t>
  </si>
  <si>
    <t>Author researching how people use AI app builders and handle hosting after moving elsewhere.</t>
  </si>
  <si>
    <t>"Mostly I have seen people move to Claude/Codex post first mockups on these apps but how do you manage hosting in that case?" / "If yes, could you share whether you are using it to build mockups or have built products and have paid customers." / "Where do you see the future of these apps going?"</t>
  </si>
  <si>
    <t>Git branching strategy when using multiple CLIs running multiple agents?</t>
  </si>
  <si>
    <t>Developers running multiple AI coding agents concurrently on one repo struggle with branching and conflicts.</t>
  </si>
  <si>
    <t>"How do you manage git branching and asynchronous changes happening when running multiple terminal windows"</t>
  </si>
  <si>
    <t>git worktree</t>
  </si>
  <si>
    <t>Why haven't volumetric displays taken off?</t>
  </si>
  <si>
    <t>No one; a curious observer asks why volumetric displays have not gone mainstream.</t>
  </si>
  <si>
    <t>"But I'm curious why hasn't this stuff taken off?" / "Is anyone on HN working on this stuff or seen anything interesting in volumetric display tech?"</t>
  </si>
  <si>
    <t>How do you handle oncall at 15-30 engineers?</t>
  </si>
  <si>
    <t>Series A/B engineering teams losing oncall time to bug routing and poor bug context.</t>
  </si>
  <si>
    <t>"I'm doing research on how oncall breaks down as engineering teams scale"</t>
  </si>
  <si>
    <t>How are you managing MCP servers across a team?</t>
  </si>
  <si>
    <t>Small NGO CTO needs a cheap MCP gateway aggregating Slack, Drive, Asana for team.</t>
  </si>
  <si>
    <t>"Cloudflare MCP Server Portals: So far it looks like the best option. Still trying it out."</t>
  </si>
  <si>
    <t>Cloudflare MCP Server Portals</t>
  </si>
  <si>
    <t>Could online services "flood the zone" of compromised password lists?</t>
  </si>
  <si>
    <t>A hypothetical question about poisoning leaked password lists; no specific party has a stated problem.</t>
  </si>
  <si>
    <t>"Could online services "flood the zone" of compromised password lists?" / "Is there a ratio of fake passwords to real ones that would result in a brute force attack" / "What if a majority of online services agreed to all create a lot of fake user profiles"</t>
  </si>
  <si>
    <t>Is there a good open-source alternative to Adobe Acrobat?</t>
  </si>
  <si>
    <t>Individual wanting a free PDF tool to edit pages, sign, and fill forms.</t>
  </si>
  <si>
    <t>"have functionality to remove pages, add pages, sign, and edit forms."</t>
  </si>
  <si>
    <t>PDFsam</t>
  </si>
  <si>
    <t>Alternative to Proton Mail?</t>
  </si>
  <si>
    <t>Individual user needs reliable email hosting with custom domains, PGP/S/MIME, and IMAP after Proton outages.</t>
  </si>
  <si>
    <t>"Custom domains. Ideally I would like all messages to a particular domain routed to my in-home server"</t>
  </si>
  <si>
    <t>What are alternative to Upwork for side gig?</t>
  </si>
  <si>
    <t>A freelance software developer needs a better platform than Upwork to find side-gig clients.</t>
  </si>
  <si>
    <t>"What are the better platform out there for side gig?"</t>
  </si>
  <si>
    <t>Freelancer.com</t>
  </si>
  <si>
    <t>TCNs as Alternative to Transformers?</t>
  </si>
  <si>
    <t>Hobbyist ML experimenter sharing notes on transformer alternatives; no concrete problem or request.</t>
  </si>
  <si>
    <t>"over the last months I've experimented with many alternatives to transformers, such as one i created github repo about:" / "over the last months I've experimented with many alternatives to transformers, such as one i created github repo about:"</t>
  </si>
  <si>
    <t>"Show HN" " alternative to dark matter, tested across galaxy to cosmic scales"</t>
  </si>
  <si>
    <t>Author promotes a cosmology theory; no software problem is stated.</t>
  </si>
  <si>
    <t>"alternative to dark matter, tested across galaxy to cosmic scales" / "Runnable code testing the empirical claims (real public SPARC data, real equations, no per-galaxy tuning)" / "alternative to dark matter, tested across galaxy to cosmic scales"</t>
  </si>
  <si>
    <t>If browsers had an alternative to JavaScript, what would that be?</t>
  </si>
  <si>
    <t>Web developers frustrated with JavaScript's pitfalls wanting a stricter alternative language in browsers.</t>
  </si>
  <si>
    <t>"If browsers had an alternative to JavaScript, what would that be?" / "Personally I'd still want a scripting language, but one that would be a lot stricter."</t>
  </si>
  <si>
    <t>TypeScript</t>
  </si>
  <si>
    <t>Automoderated by AI Alternative to Reddit</t>
  </si>
  <si>
    <t>Reddit user frustrated with human moderation, floating an AI-moderated forum idea.</t>
  </si>
  <si>
    <t>"Would that interesting to any of you too?" / "Thinking about creating automoderated forums by AI."</t>
  </si>
  <si>
    <t>Stoat: A Good Alternative to Discord?</t>
  </si>
  <si>
    <t>Individual user wants a privacy-respecting, Discord-like chat platform alternative.</t>
  </si>
  <si>
    <t>"May become federated, if the massive user demand is heard. Is it worth it?" / "it seems almost like a 1:1 to discord, with a few differences"</t>
  </si>
  <si>
    <t>Stoat</t>
  </si>
  <si>
    <t>C.O.R.E Alternative to LLM?</t>
  </si>
  <si>
    <t>Curious user asking whether a GitHub project is an LLM alternative; no problem stated.</t>
  </si>
  <si>
    <t>"Hi I found this. Looks cool. I ran the demo and it worked.','' ''Is it LLM alternative?" / "Is it LLM alternative?" / "Hi I found this. Looks cool. I ran the demo and it worked."</t>
  </si>
  <si>
    <t>We are SuperCMMS and we plan to use HN as an alternative to Twitter / X</t>
  </si>
  <si>
    <t>A company announcing it will broadcast messages on HN instead of Twitter; no problem described.</t>
  </si>
  <si>
    <t>"we plan to use HN as an alternative to Twitter / X to broadcast public messages." / "we plan to use HN as an alternative to Twitter / X to broadcast public messages." / "We are SuperCMMS ... and we plan to use HN as an alternative to Twitter / X" / "We are SuperCMMS ... and we plan to use HN as an alternative to Twitter / X"</t>
  </si>
  <si>
    <t>Twitter</t>
  </si>
  <si>
    <t>Viable open source Claude Design alternative?</t>
  </si>
  <si>
    <t>Individual wants an open source AI design tool matching Claude Design's polish and consistency.</t>
  </si>
  <si>
    <t>"Can anyone recommend an alternative to Claude Design?"</t>
  </si>
  <si>
    <t>Claude Design</t>
  </si>
  <si>
    <t>Anyone want to collaborate on a local-first AI-based research assistant</t>
  </si>
  <si>
    <t>Student seeks collaborators for an open-source local NotebookLM alternative; no concrete user problem stated.</t>
  </si>
  <si>
    <t>"this is still under a WORK IN PROGRESS, so i'm still figuring on how it can be properly used" / "i definitely need some help to build this, so if you wish, you are welcome!" / "TlDR: NotebookLM, but Locally with your OWN AI Model" / "I'm Venkatram, a sophomore who's on a mission to build a local alternative"</t>
  </si>
  <si>
    <t>NotebookLM</t>
  </si>
  <si>
    <t>Local, Open source AI meeting recorder that sees and hears everything</t>
  </si>
  <si>
    <t>Author promoting own open-source meeting recorder; no stated problem</t>
  </si>
  <si>
    <t>"If you're looking for a low key, private alternative to cloud meeting recorders, check out lumi." / "No cloud. No account. No subscription. Lumi a small CLI that uses the features already built into macOS." / "It's fully open source, so you can inspect exactly what it's doing instead of trusting a black box."</t>
  </si>
  <si>
    <t>Lumi</t>
  </si>
  <si>
    <t>I have an idea that could be worth billions, &amp; I'm giving it away for free</t>
  </si>
  <si>
    <t>Author pitches a text-chat podcast alternative; no one states a concrete problem.</t>
  </si>
  <si>
    <t>"I have an idea that could be worth billions, &amp; I'm giving it away for free" / "A website where you chat with people &amp; share your chats." / "I have an idea that could be worth billions, &amp; I'm giving it away for free"</t>
  </si>
  <si>
    <t>Return of RSS Feeds</t>
  </si>
  <si>
    <t>Internet publishers losing clicks to AI search summaries, with no direct reader link.</t>
  </si>
  <si>
    <t xml:space="preserve">"The proposal is to promote RSS feeds as an alternative to search engine optimization, or social media sharing.
" / "Once a return user has added a feed to their feed reader, the publisher and the user have a direct link" / "This brief missive regards a response to the impact of AI on Internet publishers.
"</t>
  </si>
  <si>
    <t>RSS</t>
  </si>
  <si>
    <t>Phase 0 summary</t>
  </si>
  <si>
    <t>Inputs (fill in)</t>
  </si>
  <si>
    <t>Manual search minutes before abandoning</t>
  </si>
  <si>
    <t>From your timer: start 10:39 PM on 2026-10-03 to when you stopped. Enter minutes.</t>
  </si>
  <si>
    <t>Minutes spent reviewing this workbook</t>
  </si>
  <si>
    <t>Start a timer when you open this file; enter minutes when done.</t>
  </si>
  <si>
    <t>Results (formulas)</t>
  </si>
  <si>
    <t>Candidates</t>
  </si>
  <si>
    <t>Rows on the Candidates sheet.</t>
  </si>
  <si>
    <t>Labeled</t>
  </si>
  <si>
    <t>Rows with Pursue? filled in.</t>
  </si>
  <si>
    <t>Pursue = yes</t>
  </si>
  <si>
    <t>Pursue = maybe</t>
  </si>
  <si>
    <t>Pursue = no</t>
  </si>
  <si>
    <t>Precision of top 20 (yes ÷ candidates)</t>
  </si>
  <si>
    <t>REQUIREMENTS §9: share of the top 20 you label interesting.</t>
  </si>
  <si>
    <t>Precision, lenient (yes + maybe ÷ candidates)</t>
  </si>
  <si>
    <t>Top 10 by scout ranking: share yes</t>
  </si>
  <si>
    <t>Hybrid ranking (rows 1–10 as delivered).</t>
  </si>
  <si>
    <t>Top 10 by rules-only ranking: share yes</t>
  </si>
  <si>
    <t>Same rows ranked by rules only. Higher than the line above means the model didn't help.</t>
  </si>
  <si>
    <t>Shortlist after your edits</t>
  </si>
  <si>
    <t>Band = Shortlist. Scorer v2 rows: all gates pass, no unsupported score. Older rows: Total ≥ 15.</t>
  </si>
  <si>
    <t>Scores you changed</t>
  </si>
  <si>
    <t>FR-18: overrides are labels for measuring scoring quality.</t>
  </si>
  <si>
    <t>Hours per qualified opportunity (assisted)</t>
  </si>
  <si>
    <t>Review minutes ÷ 60 ÷ yes count. 0 until you enter minutes and label.</t>
  </si>
  <si>
    <t>Run info</t>
  </si>
  <si>
    <t>Generated</t>
  </si>
  <si>
    <t>2026-10-05T13:23:04.754Z</t>
  </si>
  <si>
    <t>Scoring method</t>
  </si>
  <si>
    <t>Scorer v2 (ADR-003): gates G1–G4, then Pain, Messy, Backend, Reachable, Buyer for HN by claude-sonnet-5-5 (prompt judge-v2.1) on the top 270 HN items by rule score, each with a quote checked against the post. HN total excludes Frequency (shown as popularity) and unsupported scores. USAspending: rules.</t>
  </si>
  <si>
    <t>Criterion</t>
  </si>
  <si>
    <t>1</t>
  </si>
  <si>
    <t>2</t>
  </si>
  <si>
    <t>3</t>
  </si>
  <si>
    <t>Scored by</t>
  </si>
  <si>
    <t>Frequency</t>
  </si>
  <si>
    <t>Seen once</t>
  </si>
  <si>
    <t>2–3 times, or in 2 places</t>
  </si>
  <si>
    <t>Recurring across sources or many comments</t>
  </si>
  <si>
    <t>Rule. Scorer v2: HN shows comment count as popularity, not in the total</t>
  </si>
  <si>
    <t>Annoyance, no cost stated</t>
  </si>
  <si>
    <t>Time or money cost implied</t>
  </si>
  <si>
    <t>Hours or dollars stated</t>
  </si>
  <si>
    <t>Model (HN), rule (USAspending)</t>
  </si>
  <si>
    <t>Messy data</t>
  </si>
  <si>
    <t>One clean source</t>
  </si>
  <si>
    <t>Some variants or missing fields</t>
  </si>
  <si>
    <t>Several sources, no shared key</t>
  </si>
  <si>
    <t>Backend weight</t>
  </si>
  <si>
    <t>Mostly UI / forms</t>
  </si>
  <si>
    <t>Some ingestion or matching</t>
  </si>
  <si>
    <t>Real ingestion, matching, storage</t>
  </si>
  <si>
    <t>Reachable</t>
  </si>
  <si>
    <t>Can't say where they gather</t>
  </si>
  <si>
    <t>A broad community</t>
  </si>
  <si>
    <t>A specific place to message 5 of them</t>
  </si>
  <si>
    <t>Buyer (v2)</t>
  </si>
  <si>
    <t>Frustrated user, no budget</t>
  </si>
  <si>
    <t>Freelancer or small team that pays for tools</t>
  </si>
  <si>
    <t>Business or department already spending on it</t>
  </si>
  <si>
    <t>Model (HN only)</t>
  </si>
  <si>
    <t>Needs paid/private data</t>
  </si>
  <si>
    <t>Partly public</t>
  </si>
  <si>
    <t>Prototype fully on public data</t>
  </si>
  <si>
    <t>Rule</t>
  </si>
  <si>
    <t>6–18</t>
  </si>
  <si>
    <t>≥ 15 = Shortlist</t>
  </si>
  <si>
    <t>&lt; 10 = Drop</t>
  </si>
  <si>
    <t>v2 HN: Pain+Messy+Backend+Reach+Buyer+Free data, supported scores only</t>
  </si>
  <si>
    <t>Gates (v2)</t>
  </si>
  <si>
    <t>G1 current problem · G2 asks for help / written need</t>
  </si>
  <si>
    <t>G3 not solvable with an existing tool</t>
  </si>
  <si>
    <t>G4 author has the problem (not selling)</t>
  </si>
  <si>
    <t>Model; a failed gate moves the post to the Gated out sheet</t>
  </si>
  <si>
    <t>Higher is better: 3 is the strongest score on every criterion, 1 the weakest.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</si>
</sst>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sz val="10"/>
      <name val="Arial"/>
    </font>
    <font>
      <b/>
      <sz val="10"/>
      <name val="Arial"/>
    </font>
    <font>
      <b/>
      <color rgb="FFFFFFFF"/>
      <name val="Arial"/>
    </font>
    <font>
      <sz val="10"/>
      <name val="Arial"/>
    </font>
    <font>
      <u/>
      <color rgb="FF0563C1"/>
      <sz val="10"/>
      <name val="Arial"/>
    </font>
    <font>
      <color rgb="FF7F7F7F"/>
      <sz val="10"/>
      <name val="Arial"/>
    </font>
    <font>
      <b/>
      <sz val="11"/>
      <name val="Arial"/>
    </font>
    <font>
      <b/>
      <color rgb="FF9C0006"/>
      <name val="Arial"/>
    </font>
    <font>
      <b/>
      <color rgb="FF9C5700"/>
      <name val="Arial"/>
    </font>
    <font>
      <b/>
      <color rgb="FF0061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5" fillId="0" borderId="0" xfId="0" applyFont="1"/>
    <xf numFmtId="0" fontId="8" fillId="0" borderId="0" xfId="0" applyFont="1"/>
    <xf numFmtId="0" fontId="5" fillId="3" borderId="0" xfId="0" applyFont="1" applyFill="1"/>
    <xf numFmtId="9" fontId="5" fillId="0" borderId="0" xfId="0" applyNumberFormat="1" applyFont="1"/>
    <xf numFmtId="2" fontId="5" fillId="0" borderId="0" xfId="0" applyNumberFormat="1" applyFont="1"/>
    <xf numFmtId="0" fontId="9" fillId="4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16"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ecm.cityofchicago.org/eSMARTContracts/service/DPSWebDocumentViewer?sid=ESMART&amp;id={607886A0-0000-C313-8C14-131C0640380F}" TargetMode="External"/><Relationship Id="rId2" Type="http://schemas.openxmlformats.org/officeDocument/2006/relationships/hyperlink" Target="https://data.cityofchicago.org/d/rsxa-ify5" TargetMode="External"/><Relationship Id="rId3" Type="http://schemas.openxmlformats.org/officeDocument/2006/relationships/hyperlink" Target="http://ecm.cityofchicago.org/eSMARTContracts/service/DPSWebDocumentViewer?sid=ESMART&amp;id={A0CB48A0-0000-C615-8446-8534F1FCA278}" TargetMode="External"/><Relationship Id="rId4" Type="http://schemas.openxmlformats.org/officeDocument/2006/relationships/hyperlink" Target="http://ecm.cityofchicago.org/eSMARTContracts/service/DPSWebDocumentViewer?sid=ESMART&amp;id={50F1C79F-0000-C11C-BB89-523C97F7D022}" TargetMode="External"/><Relationship Id="rId5" Type="http://schemas.openxmlformats.org/officeDocument/2006/relationships/hyperlink" Target="https://data.cityofchicago.org/d/rsxa-ify5" TargetMode="External"/><Relationship Id="rId6" Type="http://schemas.openxmlformats.org/officeDocument/2006/relationships/hyperlink" Target="http://ecm.cityofchicago.org/eSMARTContracts/service/DPSWebDocumentViewer?sid=ESMART&amp;id={80E416A0-0000-C519-92E5-D452EDCCE375}" TargetMode="External"/><Relationship Id="rId7" Type="http://schemas.openxmlformats.org/officeDocument/2006/relationships/hyperlink" Target="http://ecm.cityofchicago.org/eSMARTContracts/service/DPSWebDocumentViewer?sid=ESMART&amp;id={1082AF9F-0000-CB10-9C9A-6E6D5654C6E9}" TargetMode="External"/><Relationship Id="rId8" Type="http://schemas.openxmlformats.org/officeDocument/2006/relationships/hyperlink" Target="http://ecm.cityofchicago.org/eSMARTContracts/service/DPSWebDocumentViewer?sid=ESMART&amp;id={90AA25A0-0000-CD11-89BB-6425134B66AA}" TargetMode="External"/><Relationship Id="rId9" Type="http://schemas.openxmlformats.org/officeDocument/2006/relationships/hyperlink" Target="http://ecm.cityofchicago.org/eSMARTContracts/service/DPSWebDocumentViewer?sid=ESMART&amp;id={308139A0-0000-C61D-B64D-CA405A96395C}" TargetMode="External"/><Relationship Id="rId10" Type="http://schemas.openxmlformats.org/officeDocument/2006/relationships/hyperlink" Target="https://data.cityofchicago.org/d/rsxa-ify5" TargetMode="External"/><Relationship Id="rId11" Type="http://schemas.openxmlformats.org/officeDocument/2006/relationships/hyperlink" Target="https://a856-cityrecord.nyc.gov/RequestDetail/20260924009" TargetMode="External"/><Relationship Id="rId12" Type="http://schemas.openxmlformats.org/officeDocument/2006/relationships/hyperlink" Target="https://a856-cityrecord.nyc.gov/RequestDetail/20260915007" TargetMode="External"/><Relationship Id="rId13" Type="http://schemas.openxmlformats.org/officeDocument/2006/relationships/hyperlink" Target="https://a856-cityrecord.nyc.gov/RequestDetail/20260911010" TargetMode="External"/><Relationship Id="rId14" Type="http://schemas.openxmlformats.org/officeDocument/2006/relationships/hyperlink" Target="https://a856-cityrecord.nyc.gov/RequestDetail/20260914005" TargetMode="External"/><Relationship Id="rId15" Type="http://schemas.openxmlformats.org/officeDocument/2006/relationships/hyperlink" Target="https://data.cityofchicago.org/d/rsxa-ify5" TargetMode="External"/><Relationship Id="rId16" Type="http://schemas.openxmlformats.org/officeDocument/2006/relationships/hyperlink" Target="https://news.ycombinator.com/item?id=47368874" TargetMode="External"/><Relationship Id="rId17" Type="http://schemas.openxmlformats.org/officeDocument/2006/relationships/hyperlink" Target="https://news.ycombinator.com/item?id=46706001" TargetMode="External"/><Relationship Id="rId18" Type="http://schemas.openxmlformats.org/officeDocument/2006/relationships/hyperlink" Target="https://news.ycombinator.com/item?id=46734069" TargetMode="External"/><Relationship Id="rId19" Type="http://schemas.openxmlformats.org/officeDocument/2006/relationships/hyperlink" Target="https://news.ycombinator.com/item?id=47418016" TargetMode="External"/><Relationship Id="rId20" Type="http://schemas.openxmlformats.org/officeDocument/2006/relationships/hyperlink" Target="https://news.ycombinator.com/item?id=46702458" TargetMode="External"/><Relationship Id="rId21" Type="http://schemas.openxmlformats.org/officeDocument/2006/relationships/hyperlink" Target="https://news.ycombinator.com/item?id=46763092" TargetMode="External"/><Relationship Id="rId22" Type="http://schemas.openxmlformats.org/officeDocument/2006/relationships/hyperlink" Target="https://news.ycombinator.com/item?id=46885728" TargetMode="External"/><Relationship Id="rId23" Type="http://schemas.openxmlformats.org/officeDocument/2006/relationships/hyperlink" Target="https://news.ycombinator.com/item?id=45695556" TargetMode="External"/><Relationship Id="rId24" Type="http://schemas.openxmlformats.org/officeDocument/2006/relationships/hyperlink" Target="https://news.ycombinator.com/item?id=46492774" TargetMode="External"/><Relationship Id="rId25" Type="http://schemas.openxmlformats.org/officeDocument/2006/relationships/hyperlink" Target="https://news.ycombinator.com/item?id=46037226" TargetMode="External"/><Relationship Id="rId26" Type="http://schemas.openxmlformats.org/officeDocument/2006/relationships/hyperlink" Target="https://news.ycombinator.com/item?id=45788980" TargetMode="External"/><Relationship Id="rId27" Type="http://schemas.openxmlformats.org/officeDocument/2006/relationships/hyperlink" Target="https://news.ycombinator.com/item?id=46208740" TargetMode="External"/><Relationship Id="rId28" Type="http://schemas.openxmlformats.org/officeDocument/2006/relationships/hyperlink" Target="https://www.usaspending.gov/award/CONT_AWD_15A00024FAQ000034_1560_15A00023DAQA00029_1560" TargetMode="External"/><Relationship Id="rId29" Type="http://schemas.openxmlformats.org/officeDocument/2006/relationships/hyperlink" Target="https://www.usaspending.gov/award/CONT_AWD_DELM0000421_8900_-NONE-_-NONE-" TargetMode="External"/><Relationship Id="rId30" Type="http://schemas.openxmlformats.org/officeDocument/2006/relationships/hyperlink" Target="https://www.usaspending.gov/award/CONT_AWD_70SBUR24F00000192_7003_70RTAC23A00000001_7001" TargetMode="External"/><Relationship Id="rId31" Type="http://schemas.openxmlformats.org/officeDocument/2006/relationships/hyperlink" Target="https://www.usaspending.gov/award/CONT_AWD_75FCMC22F0005_7530_47QTCA19D00AJ_4732" TargetMode="External"/><Relationship Id="rId32" Type="http://schemas.openxmlformats.org/officeDocument/2006/relationships/hyperlink" Target="https://www.usaspending.gov/award/CONT_AWD_70CTD026FC0000012_7012_70RTAC26A00000001_7001" TargetMode="External"/><Relationship Id="rId33" Type="http://schemas.openxmlformats.org/officeDocument/2006/relationships/hyperlink" Target="https://www.usaspending.gov/award/CONT_AWD_75N94024F00001_7529_HHSN316201200044W_7529" TargetMode="External"/><Relationship Id="rId34" Type="http://schemas.openxmlformats.org/officeDocument/2006/relationships/hyperlink" Target="https://www.usaspending.gov/award/CONT_AWD_50310221F0183_5000_SECHQ117A0007_5000" TargetMode="External"/><Relationship Id="rId35" Type="http://schemas.openxmlformats.org/officeDocument/2006/relationships/hyperlink" Target="https://www.usaspending.gov/award/CONT_AWD_2031ZB25F00031_2041_47QTCB21D0306_473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a856-cityrecord.nyc.gov/RequestDetail/20260903025" TargetMode="External"/><Relationship Id="rId2" Type="http://schemas.openxmlformats.org/officeDocument/2006/relationships/hyperlink" Target="https://a856-cityrecord.nyc.gov/RequestDetail/20260915026" TargetMode="External"/><Relationship Id="rId3" Type="http://schemas.openxmlformats.org/officeDocument/2006/relationships/hyperlink" Target="https://a856-cityrecord.nyc.gov/RequestDetail/20260915018" TargetMode="External"/><Relationship Id="rId4" Type="http://schemas.openxmlformats.org/officeDocument/2006/relationships/hyperlink" Target="https://a856-cityrecord.nyc.gov/RequestDetail/20260909024" TargetMode="External"/><Relationship Id="rId5" Type="http://schemas.openxmlformats.org/officeDocument/2006/relationships/hyperlink" Target="https://a856-cityrecord.nyc.gov/RequestDetail/20260910016" TargetMode="External"/><Relationship Id="rId6" Type="http://schemas.openxmlformats.org/officeDocument/2006/relationships/hyperlink" Target="https://data.cityofchicago.org/d/rsxa-ify5" TargetMode="External"/><Relationship Id="rId7" Type="http://schemas.openxmlformats.org/officeDocument/2006/relationships/hyperlink" Target="https://a856-cityrecord.nyc.gov/RequestDetail/20260916007" TargetMode="External"/><Relationship Id="rId8" Type="http://schemas.openxmlformats.org/officeDocument/2006/relationships/hyperlink" Target="https://a856-cityrecord.nyc.gov/RequestDetail/20260908014" TargetMode="External"/><Relationship Id="rId9" Type="http://schemas.openxmlformats.org/officeDocument/2006/relationships/hyperlink" Target="http://ecm.cityofchicago.org/eSMARTContracts/service/DPSWebDocumentViewer?sid=ESMART&amp;id={104DFDA0-0000-C710-9D26-E014331817A2}" TargetMode="External"/><Relationship Id="rId10" Type="http://schemas.openxmlformats.org/officeDocument/2006/relationships/hyperlink" Target="https://data.cityofchicago.org/d/rsxa-ify5" TargetMode="External"/><Relationship Id="rId11" Type="http://schemas.openxmlformats.org/officeDocument/2006/relationships/hyperlink" Target="http://ecm.cityofchicago.org/eSMARTContracts/service/DPSWebDocumentViewer?sid=ESMART&amp;id={80BAE8A0-0000-CB17-B039-85034C06B185}" TargetMode="External"/><Relationship Id="rId12" Type="http://schemas.openxmlformats.org/officeDocument/2006/relationships/hyperlink" Target="https://data.cityofchicago.org/d/rsxa-ify5" TargetMode="External"/><Relationship Id="rId13" Type="http://schemas.openxmlformats.org/officeDocument/2006/relationships/hyperlink" Target="https://data.cityofchicago.org/d/rsxa-ify5" TargetMode="External"/><Relationship Id="rId14" Type="http://schemas.openxmlformats.org/officeDocument/2006/relationships/hyperlink" Target="http://ecm.cityofchicago.org/eSMARTContracts/service/DPSWebDocumentViewer?sid=ESMART&amp;id={F048C4A0-0000-C91F-A38E-E3173EE5875D}" TargetMode="External"/><Relationship Id="rId15" Type="http://schemas.openxmlformats.org/officeDocument/2006/relationships/hyperlink" Target="http://ecm.cityofchicago.org/eSMARTContracts/service/DPSWebDocumentViewer?sid=ESMART&amp;id={D0A267A0-0000-CD14-B76A-1AFDF9810C5A}" TargetMode="External"/><Relationship Id="rId16" Type="http://schemas.openxmlformats.org/officeDocument/2006/relationships/hyperlink" Target="http://ecm.cityofchicago.org/eSMARTContracts/service/DPSWebDocumentViewer?sid=ESMART&amp;id={50A167A0-0000-CB19-8C68-C37E739193F6}" TargetMode="External"/><Relationship Id="rId17" Type="http://schemas.openxmlformats.org/officeDocument/2006/relationships/hyperlink" Target="http://ecm.cityofchicago.org/eSMARTContracts/service/DPSWebDocumentViewer?sid=ESMART&amp;id={B0016EA0-0000-CF13-8910-75F0728BFD72}" TargetMode="External"/><Relationship Id="rId18" Type="http://schemas.openxmlformats.org/officeDocument/2006/relationships/hyperlink" Target="http://ecm.cityofchicago.org/eSMARTContracts/service/DPSWebDocumentViewer?sid=ESMART&amp;id={90086EA0-0000-C716-8CE4-4A964595EB0C}" TargetMode="External"/><Relationship Id="rId19" Type="http://schemas.openxmlformats.org/officeDocument/2006/relationships/hyperlink" Target="http://ecm.cityofchicago.org/eSMARTContracts/service/DPSWebDocumentViewer?sid=ESMART&amp;id={B02059A0-0000-C11D-9A22-27C7B8A3B9CC}" TargetMode="External"/><Relationship Id="rId20" Type="http://schemas.openxmlformats.org/officeDocument/2006/relationships/hyperlink" Target="http://ecm.cityofchicago.org/eSMARTContracts/service/DPSWebDocumentViewer?sid=ESMART&amp;id={B0453FA0-0000-C510-86A2-11DF662560C9}" TargetMode="External"/><Relationship Id="rId21" Type="http://schemas.openxmlformats.org/officeDocument/2006/relationships/hyperlink" Target="http://ecm.cityofchicago.org/eSMARTContracts/service/DPSWebDocumentViewer?sid=ESMART&amp;id={C0B139A0-0000-C81D-B69C-07F91BE1DF28}" TargetMode="External"/><Relationship Id="rId22" Type="http://schemas.openxmlformats.org/officeDocument/2006/relationships/hyperlink" Target="http://ecm.cityofchicago.org/eSMARTContracts/service/DPSWebDocumentViewer?sid=ESMART&amp;id={808839A0-0000-C01F-B5AF-4CA3B6524119}" TargetMode="External"/><Relationship Id="rId23" Type="http://schemas.openxmlformats.org/officeDocument/2006/relationships/hyperlink" Target="http://ecm.cityofchicago.org/eSMARTContracts/service/DPSWebDocumentViewer?sid=ESMART&amp;id={A0A825A0-0000-CE1F-94F7-69FE65D17600}" TargetMode="External"/><Relationship Id="rId24" Type="http://schemas.openxmlformats.org/officeDocument/2006/relationships/hyperlink" Target="http://ecm.cityofchicago.org/eSMARTContracts/service/DPSWebDocumentViewer?sid=ESMART&amp;id={30D6DD9F-0000-C01F-A375-116EE78E21A9}" TargetMode="External"/><Relationship Id="rId25" Type="http://schemas.openxmlformats.org/officeDocument/2006/relationships/hyperlink" Target="http://ecm.cityofchicago.org/eSMARTContracts/service/DPSWebDocumentViewer?sid=ESMART&amp;id={6078EC9F-0000-CE10-B802-4D2BDAD6071C}" TargetMode="External"/><Relationship Id="rId26" Type="http://schemas.openxmlformats.org/officeDocument/2006/relationships/hyperlink" Target="http://ecm.cityofchicago.org/eSMARTContracts/service/DPSWebDocumentViewer?sid=ESMART&amp;id={A02DAE9F-0000-C01C-A5A1-A4BA6635FBAD}" TargetMode="External"/><Relationship Id="rId27" Type="http://schemas.openxmlformats.org/officeDocument/2006/relationships/hyperlink" Target="https://data.cityofchicago.org/d/rsxa-ify5" TargetMode="External"/><Relationship Id="rId28" Type="http://schemas.openxmlformats.org/officeDocument/2006/relationships/hyperlink" Target="http://ecm.cityofchicago.org/eSMARTContracts/service/DPSWebDocumentViewer?sid=ESMART&amp;id={D08239A0-0000-CB14-8B29-62BDCFB93710}" TargetMode="External"/><Relationship Id="rId29" Type="http://schemas.openxmlformats.org/officeDocument/2006/relationships/hyperlink" Target="http://ecm.cityofchicago.org/eSMARTContracts/service/DPSWebDocumentViewer?sid=ESMART&amp;id={F028809F-0000-C917-87BA-134F4DC8BDBB}" TargetMode="External"/><Relationship Id="rId30" Type="http://schemas.openxmlformats.org/officeDocument/2006/relationships/hyperlink" Target="http://ecm.cityofchicago.org/eSMARTContracts/service/DPSWebDocumentViewer?sid=ESMART&amp;id={E030869F-0000-C61B-B3FB-E95A84967948}" TargetMode="External"/><Relationship Id="rId31" Type="http://schemas.openxmlformats.org/officeDocument/2006/relationships/hyperlink" Target="http://ecm.cityofchicago.org/eSMARTContracts/service/DPSWebDocumentViewer?sid=ESMART&amp;id={A020809F-0000-C91A-82CE-D4AF29A6AC53}" TargetMode="External"/><Relationship Id="rId32" Type="http://schemas.openxmlformats.org/officeDocument/2006/relationships/hyperlink" Target="https://data.cityofchicago.org/d/rsxa-ify5" TargetMode="External"/><Relationship Id="rId33" Type="http://schemas.openxmlformats.org/officeDocument/2006/relationships/hyperlink" Target="https://data.cityofchicago.org/d/rsxa-ify5" TargetMode="External"/><Relationship Id="rId34" Type="http://schemas.openxmlformats.org/officeDocument/2006/relationships/hyperlink" Target="http://ecm.cityofchicago.org/eSMARTContracts/service/DPSWebDocumentViewer?sid=ESMART&amp;id={F0606C9F-0000-C917-935E-1E06B30477EB}" TargetMode="External"/><Relationship Id="rId35" Type="http://schemas.openxmlformats.org/officeDocument/2006/relationships/hyperlink" Target="https://a856-cityrecord.nyc.gov/RequestDetail/20260929007" TargetMode="External"/><Relationship Id="rId36" Type="http://schemas.openxmlformats.org/officeDocument/2006/relationships/hyperlink" Target="https://a856-cityrecord.nyc.gov/RequestDetail/20260928009" TargetMode="External"/><Relationship Id="rId37" Type="http://schemas.openxmlformats.org/officeDocument/2006/relationships/hyperlink" Target="https://a856-cityrecord.nyc.gov/RequestDetail/20260925026" TargetMode="External"/><Relationship Id="rId38" Type="http://schemas.openxmlformats.org/officeDocument/2006/relationships/hyperlink" Target="https://a856-cityrecord.nyc.gov/RequestDetail/20260925016" TargetMode="External"/><Relationship Id="rId39" Type="http://schemas.openxmlformats.org/officeDocument/2006/relationships/hyperlink" Target="https://a856-cityrecord.nyc.gov/RequestDetail/20260924022" TargetMode="External"/><Relationship Id="rId40" Type="http://schemas.openxmlformats.org/officeDocument/2006/relationships/hyperlink" Target="https://a856-cityrecord.nyc.gov/RequestDetail/20260924010" TargetMode="External"/><Relationship Id="rId41" Type="http://schemas.openxmlformats.org/officeDocument/2006/relationships/hyperlink" Target="https://a856-cityrecord.nyc.gov/RequestDetail/20260922005" TargetMode="External"/><Relationship Id="rId42" Type="http://schemas.openxmlformats.org/officeDocument/2006/relationships/hyperlink" Target="https://a856-cityrecord.nyc.gov/RequestDetail/20260921007" TargetMode="External"/><Relationship Id="rId43" Type="http://schemas.openxmlformats.org/officeDocument/2006/relationships/hyperlink" Target="https://a856-cityrecord.nyc.gov/RequestDetail/20260921006" TargetMode="External"/><Relationship Id="rId44" Type="http://schemas.openxmlformats.org/officeDocument/2006/relationships/hyperlink" Target="https://a856-cityrecord.nyc.gov/RequestDetail/20260917016" TargetMode="External"/><Relationship Id="rId45" Type="http://schemas.openxmlformats.org/officeDocument/2006/relationships/hyperlink" Target="https://a856-cityrecord.nyc.gov/RequestDetail/20260916033" TargetMode="External"/><Relationship Id="rId46" Type="http://schemas.openxmlformats.org/officeDocument/2006/relationships/hyperlink" Target="https://a856-cityrecord.nyc.gov/RequestDetail/20260917007" TargetMode="External"/><Relationship Id="rId47" Type="http://schemas.openxmlformats.org/officeDocument/2006/relationships/hyperlink" Target="https://a856-cityrecord.nyc.gov/RequestDetail/20260917014" TargetMode="External"/><Relationship Id="rId48" Type="http://schemas.openxmlformats.org/officeDocument/2006/relationships/hyperlink" Target="https://a856-cityrecord.nyc.gov/RequestDetail/20260917008" TargetMode="External"/><Relationship Id="rId49" Type="http://schemas.openxmlformats.org/officeDocument/2006/relationships/hyperlink" Target="https://a856-cityrecord.nyc.gov/RequestDetail/20260916005" TargetMode="External"/><Relationship Id="rId50" Type="http://schemas.openxmlformats.org/officeDocument/2006/relationships/hyperlink" Target="https://a856-cityrecord.nyc.gov/RequestDetail/20260915027" TargetMode="External"/><Relationship Id="rId51" Type="http://schemas.openxmlformats.org/officeDocument/2006/relationships/hyperlink" Target="https://a856-cityrecord.nyc.gov/RequestDetail/20260914007" TargetMode="External"/><Relationship Id="rId52" Type="http://schemas.openxmlformats.org/officeDocument/2006/relationships/hyperlink" Target="https://a856-cityrecord.nyc.gov/RequestDetail/20260914004" TargetMode="External"/><Relationship Id="rId53" Type="http://schemas.openxmlformats.org/officeDocument/2006/relationships/hyperlink" Target="https://a856-cityrecord.nyc.gov/RequestDetail/20260911006" TargetMode="External"/><Relationship Id="rId54" Type="http://schemas.openxmlformats.org/officeDocument/2006/relationships/hyperlink" Target="https://a856-cityrecord.nyc.gov/RequestDetail/20260910022" TargetMode="External"/><Relationship Id="rId55" Type="http://schemas.openxmlformats.org/officeDocument/2006/relationships/hyperlink" Target="https://a856-cityrecord.nyc.gov/RequestDetail/20260911008" TargetMode="External"/><Relationship Id="rId56" Type="http://schemas.openxmlformats.org/officeDocument/2006/relationships/hyperlink" Target="https://a856-cityrecord.nyc.gov/RequestDetail/20260910013" TargetMode="External"/><Relationship Id="rId57" Type="http://schemas.openxmlformats.org/officeDocument/2006/relationships/hyperlink" Target="https://a856-cityrecord.nyc.gov/RequestDetail/20260910014" TargetMode="External"/><Relationship Id="rId58" Type="http://schemas.openxmlformats.org/officeDocument/2006/relationships/hyperlink" Target="https://a856-cityrecord.nyc.gov/RequestDetail/20260909012" TargetMode="External"/><Relationship Id="rId59" Type="http://schemas.openxmlformats.org/officeDocument/2006/relationships/hyperlink" Target="https://news.ycombinator.com/item?id=46238354" TargetMode="External"/><Relationship Id="rId60" Type="http://schemas.openxmlformats.org/officeDocument/2006/relationships/hyperlink" Target="https://news.ycombinator.com/item?id=46292682" TargetMode="External"/><Relationship Id="rId61" Type="http://schemas.openxmlformats.org/officeDocument/2006/relationships/hyperlink" Target="https://news.ycombinator.com/item?id=48395194" TargetMode="External"/><Relationship Id="rId62" Type="http://schemas.openxmlformats.org/officeDocument/2006/relationships/hyperlink" Target="https://news.ycombinator.com/item?id=47618992" TargetMode="External"/><Relationship Id="rId63" Type="http://schemas.openxmlformats.org/officeDocument/2006/relationships/hyperlink" Target="https://news.ycombinator.com/item?id=46989268" TargetMode="External"/><Relationship Id="rId64" Type="http://schemas.openxmlformats.org/officeDocument/2006/relationships/hyperlink" Target="https://news.ycombinator.com/item?id=46508942" TargetMode="External"/><Relationship Id="rId65" Type="http://schemas.openxmlformats.org/officeDocument/2006/relationships/hyperlink" Target="https://news.ycombinator.com/item?id=47846253" TargetMode="External"/><Relationship Id="rId66" Type="http://schemas.openxmlformats.org/officeDocument/2006/relationships/hyperlink" Target="https://news.ycombinator.com/item?id=48820488" TargetMode="External"/><Relationship Id="rId67" Type="http://schemas.openxmlformats.org/officeDocument/2006/relationships/hyperlink" Target="https://news.ycombinator.com/item?id=45823234" TargetMode="External"/><Relationship Id="rId68" Type="http://schemas.openxmlformats.org/officeDocument/2006/relationships/hyperlink" Target="https://news.ycombinator.com/item?id=47362152" TargetMode="External"/><Relationship Id="rId69" Type="http://schemas.openxmlformats.org/officeDocument/2006/relationships/hyperlink" Target="https://news.ycombinator.com/item?id=47331930" TargetMode="External"/><Relationship Id="rId70" Type="http://schemas.openxmlformats.org/officeDocument/2006/relationships/hyperlink" Target="https://news.ycombinator.com/item?id=45900352" TargetMode="External"/><Relationship Id="rId71" Type="http://schemas.openxmlformats.org/officeDocument/2006/relationships/hyperlink" Target="https://news.ycombinator.com/item?id=45618229" TargetMode="External"/><Relationship Id="rId72" Type="http://schemas.openxmlformats.org/officeDocument/2006/relationships/hyperlink" Target="https://news.ycombinator.com/item?id=49753697" TargetMode="External"/><Relationship Id="rId73" Type="http://schemas.openxmlformats.org/officeDocument/2006/relationships/hyperlink" Target="https://news.ycombinator.com/item?id=48045237" TargetMode="External"/><Relationship Id="rId74" Type="http://schemas.openxmlformats.org/officeDocument/2006/relationships/hyperlink" Target="https://news.ycombinator.com/item?id=46255285" TargetMode="External"/><Relationship Id="rId75" Type="http://schemas.openxmlformats.org/officeDocument/2006/relationships/hyperlink" Target="https://news.ycombinator.com/item?id=48489109" TargetMode="External"/><Relationship Id="rId76" Type="http://schemas.openxmlformats.org/officeDocument/2006/relationships/hyperlink" Target="https://news.ycombinator.com/item?id=46106504" TargetMode="External"/><Relationship Id="rId77" Type="http://schemas.openxmlformats.org/officeDocument/2006/relationships/hyperlink" Target="https://news.ycombinator.com/item?id=47495510" TargetMode="External"/><Relationship Id="rId78" Type="http://schemas.openxmlformats.org/officeDocument/2006/relationships/hyperlink" Target="https://news.ycombinator.com/item?id=46689024" TargetMode="External"/><Relationship Id="rId79" Type="http://schemas.openxmlformats.org/officeDocument/2006/relationships/hyperlink" Target="https://news.ycombinator.com/item?id=46653311" TargetMode="External"/><Relationship Id="rId80" Type="http://schemas.openxmlformats.org/officeDocument/2006/relationships/hyperlink" Target="https://news.ycombinator.com/item?id=46028694" TargetMode="External"/><Relationship Id="rId81" Type="http://schemas.openxmlformats.org/officeDocument/2006/relationships/hyperlink" Target="https://news.ycombinator.com/item?id=46734194" TargetMode="External"/><Relationship Id="rId82" Type="http://schemas.openxmlformats.org/officeDocument/2006/relationships/hyperlink" Target="https://news.ycombinator.com/item?id=46940547" TargetMode="External"/><Relationship Id="rId83" Type="http://schemas.openxmlformats.org/officeDocument/2006/relationships/hyperlink" Target="https://news.ycombinator.com/item?id=46966307" TargetMode="External"/><Relationship Id="rId84" Type="http://schemas.openxmlformats.org/officeDocument/2006/relationships/hyperlink" Target="https://news.ycombinator.com/item?id=49438590" TargetMode="External"/><Relationship Id="rId85" Type="http://schemas.openxmlformats.org/officeDocument/2006/relationships/hyperlink" Target="https://news.ycombinator.com/item?id=47293234" TargetMode="External"/><Relationship Id="rId86" Type="http://schemas.openxmlformats.org/officeDocument/2006/relationships/hyperlink" Target="https://news.ycombinator.com/item?id=47107343" TargetMode="External"/><Relationship Id="rId87" Type="http://schemas.openxmlformats.org/officeDocument/2006/relationships/hyperlink" Target="https://news.ycombinator.com/item?id=46899540" TargetMode="External"/><Relationship Id="rId88" Type="http://schemas.openxmlformats.org/officeDocument/2006/relationships/hyperlink" Target="https://news.ycombinator.com/item?id=49741481" TargetMode="External"/><Relationship Id="rId89" Type="http://schemas.openxmlformats.org/officeDocument/2006/relationships/hyperlink" Target="https://news.ycombinator.com/item?id=46430143" TargetMode="External"/><Relationship Id="rId90" Type="http://schemas.openxmlformats.org/officeDocument/2006/relationships/hyperlink" Target="https://news.ycombinator.com/item?id=47139307" TargetMode="External"/><Relationship Id="rId91" Type="http://schemas.openxmlformats.org/officeDocument/2006/relationships/hyperlink" Target="https://news.ycombinator.com/item?id=45656208" TargetMode="External"/><Relationship Id="rId92" Type="http://schemas.openxmlformats.org/officeDocument/2006/relationships/hyperlink" Target="https://news.ycombinator.com/item?id=49635776" TargetMode="External"/><Relationship Id="rId93" Type="http://schemas.openxmlformats.org/officeDocument/2006/relationships/hyperlink" Target="https://news.ycombinator.com/item?id=46510489" TargetMode="External"/><Relationship Id="rId94" Type="http://schemas.openxmlformats.org/officeDocument/2006/relationships/hyperlink" Target="https://news.ycombinator.com/item?id=46197005" TargetMode="External"/><Relationship Id="rId95" Type="http://schemas.openxmlformats.org/officeDocument/2006/relationships/hyperlink" Target="https://news.ycombinator.com/item?id=46396889" TargetMode="External"/><Relationship Id="rId96" Type="http://schemas.openxmlformats.org/officeDocument/2006/relationships/hyperlink" Target="https://news.ycombinator.com/item?id=46976974" TargetMode="External"/><Relationship Id="rId97" Type="http://schemas.openxmlformats.org/officeDocument/2006/relationships/hyperlink" Target="https://news.ycombinator.com/item?id=48420827" TargetMode="External"/><Relationship Id="rId98" Type="http://schemas.openxmlformats.org/officeDocument/2006/relationships/hyperlink" Target="https://news.ycombinator.com/item?id=47958353" TargetMode="External"/><Relationship Id="rId99" Type="http://schemas.openxmlformats.org/officeDocument/2006/relationships/hyperlink" Target="https://news.ycombinator.com/item?id=46456400" TargetMode="External"/><Relationship Id="rId100" Type="http://schemas.openxmlformats.org/officeDocument/2006/relationships/hyperlink" Target="https://news.ycombinator.com/item?id=49078318" TargetMode="External"/><Relationship Id="rId101" Type="http://schemas.openxmlformats.org/officeDocument/2006/relationships/hyperlink" Target="https://news.ycombinator.com/item?id=46257486" TargetMode="External"/><Relationship Id="rId102" Type="http://schemas.openxmlformats.org/officeDocument/2006/relationships/hyperlink" Target="https://news.ycombinator.com/item?id=48410589" TargetMode="External"/><Relationship Id="rId103" Type="http://schemas.openxmlformats.org/officeDocument/2006/relationships/hyperlink" Target="https://news.ycombinator.com/item?id=48257711" TargetMode="External"/><Relationship Id="rId104" Type="http://schemas.openxmlformats.org/officeDocument/2006/relationships/hyperlink" Target="https://news.ycombinator.com/item?id=49447708" TargetMode="External"/><Relationship Id="rId105" Type="http://schemas.openxmlformats.org/officeDocument/2006/relationships/hyperlink" Target="https://news.ycombinator.com/item?id=46481814" TargetMode="External"/><Relationship Id="rId106" Type="http://schemas.openxmlformats.org/officeDocument/2006/relationships/hyperlink" Target="https://news.ycombinator.com/item?id=49037807" TargetMode="External"/><Relationship Id="rId107" Type="http://schemas.openxmlformats.org/officeDocument/2006/relationships/hyperlink" Target="https://news.ycombinator.com/item?id=48157980" TargetMode="External"/><Relationship Id="rId108" Type="http://schemas.openxmlformats.org/officeDocument/2006/relationships/hyperlink" Target="https://news.ycombinator.com/item?id=49385541" TargetMode="External"/><Relationship Id="rId109" Type="http://schemas.openxmlformats.org/officeDocument/2006/relationships/hyperlink" Target="https://news.ycombinator.com/item?id=46116193" TargetMode="External"/><Relationship Id="rId110" Type="http://schemas.openxmlformats.org/officeDocument/2006/relationships/hyperlink" Target="https://news.ycombinator.com/item?id=49692009" TargetMode="External"/><Relationship Id="rId111" Type="http://schemas.openxmlformats.org/officeDocument/2006/relationships/hyperlink" Target="https://news.ycombinator.com/item?id=48484306" TargetMode="External"/><Relationship Id="rId112" Type="http://schemas.openxmlformats.org/officeDocument/2006/relationships/hyperlink" Target="https://news.ycombinator.com/item?id=46620990" TargetMode="External"/><Relationship Id="rId113" Type="http://schemas.openxmlformats.org/officeDocument/2006/relationships/hyperlink" Target="https://news.ycombinator.com/item?id=46566103" TargetMode="External"/><Relationship Id="rId114" Type="http://schemas.openxmlformats.org/officeDocument/2006/relationships/hyperlink" Target="https://news.ycombinator.com/item?id=47676424" TargetMode="External"/><Relationship Id="rId115" Type="http://schemas.openxmlformats.org/officeDocument/2006/relationships/hyperlink" Target="https://news.ycombinator.com/item?id=46229700" TargetMode="External"/><Relationship Id="rId116" Type="http://schemas.openxmlformats.org/officeDocument/2006/relationships/hyperlink" Target="https://news.ycombinator.com/item?id=47104032" TargetMode="External"/><Relationship Id="rId117" Type="http://schemas.openxmlformats.org/officeDocument/2006/relationships/hyperlink" Target="https://news.ycombinator.com/item?id=48858598" TargetMode="External"/><Relationship Id="rId118" Type="http://schemas.openxmlformats.org/officeDocument/2006/relationships/hyperlink" Target="https://news.ycombinator.com/item?id=46403424" TargetMode="External"/><Relationship Id="rId119" Type="http://schemas.openxmlformats.org/officeDocument/2006/relationships/hyperlink" Target="https://news.ycombinator.com/item?id=46500565" TargetMode="External"/><Relationship Id="rId120" Type="http://schemas.openxmlformats.org/officeDocument/2006/relationships/hyperlink" Target="https://news.ycombinator.com/item?id=48485950" TargetMode="External"/><Relationship Id="rId121" Type="http://schemas.openxmlformats.org/officeDocument/2006/relationships/hyperlink" Target="https://news.ycombinator.com/item?id=46202423" TargetMode="External"/><Relationship Id="rId122" Type="http://schemas.openxmlformats.org/officeDocument/2006/relationships/hyperlink" Target="https://news.ycombinator.com/item?id=49261634" TargetMode="External"/><Relationship Id="rId123" Type="http://schemas.openxmlformats.org/officeDocument/2006/relationships/hyperlink" Target="https://news.ycombinator.com/item?id=48081266" TargetMode="External"/><Relationship Id="rId124" Type="http://schemas.openxmlformats.org/officeDocument/2006/relationships/hyperlink" Target="https://news.ycombinator.com/item?id=47971921" TargetMode="External"/><Relationship Id="rId125" Type="http://schemas.openxmlformats.org/officeDocument/2006/relationships/hyperlink" Target="https://news.ycombinator.com/item?id=47044900" TargetMode="External"/><Relationship Id="rId126" Type="http://schemas.openxmlformats.org/officeDocument/2006/relationships/hyperlink" Target="https://news.ycombinator.com/item?id=47326306" TargetMode="External"/><Relationship Id="rId127" Type="http://schemas.openxmlformats.org/officeDocument/2006/relationships/hyperlink" Target="https://news.ycombinator.com/item?id=46967391" TargetMode="External"/><Relationship Id="rId128" Type="http://schemas.openxmlformats.org/officeDocument/2006/relationships/hyperlink" Target="https://news.ycombinator.com/item?id=46068590" TargetMode="External"/><Relationship Id="rId129" Type="http://schemas.openxmlformats.org/officeDocument/2006/relationships/hyperlink" Target="https://news.ycombinator.com/item?id=48102861" TargetMode="External"/><Relationship Id="rId130" Type="http://schemas.openxmlformats.org/officeDocument/2006/relationships/hyperlink" Target="https://news.ycombinator.com/item?id=46386053" TargetMode="External"/><Relationship Id="rId131" Type="http://schemas.openxmlformats.org/officeDocument/2006/relationships/hyperlink" Target="https://news.ycombinator.com/item?id=46556624" TargetMode="External"/><Relationship Id="rId132" Type="http://schemas.openxmlformats.org/officeDocument/2006/relationships/hyperlink" Target="https://news.ycombinator.com/item?id=45501394" TargetMode="External"/><Relationship Id="rId133" Type="http://schemas.openxmlformats.org/officeDocument/2006/relationships/hyperlink" Target="https://news.ycombinator.com/item?id=46624067" TargetMode="External"/><Relationship Id="rId134" Type="http://schemas.openxmlformats.org/officeDocument/2006/relationships/hyperlink" Target="https://news.ycombinator.com/item?id=46231100" TargetMode="External"/><Relationship Id="rId135" Type="http://schemas.openxmlformats.org/officeDocument/2006/relationships/hyperlink" Target="https://news.ycombinator.com/item?id=45931825" TargetMode="External"/><Relationship Id="rId136" Type="http://schemas.openxmlformats.org/officeDocument/2006/relationships/hyperlink" Target="https://news.ycombinator.com/item?id=49085002" TargetMode="External"/><Relationship Id="rId137" Type="http://schemas.openxmlformats.org/officeDocument/2006/relationships/hyperlink" Target="https://news.ycombinator.com/item?id=46936175" TargetMode="External"/><Relationship Id="rId138" Type="http://schemas.openxmlformats.org/officeDocument/2006/relationships/hyperlink" Target="https://news.ycombinator.com/item?id=47262097" TargetMode="External"/><Relationship Id="rId139" Type="http://schemas.openxmlformats.org/officeDocument/2006/relationships/hyperlink" Target="https://news.ycombinator.com/item?id=45814032" TargetMode="External"/><Relationship Id="rId140" Type="http://schemas.openxmlformats.org/officeDocument/2006/relationships/hyperlink" Target="https://news.ycombinator.com/item?id=45515482" TargetMode="External"/><Relationship Id="rId141" Type="http://schemas.openxmlformats.org/officeDocument/2006/relationships/hyperlink" Target="https://news.ycombinator.com/item?id=45491604" TargetMode="External"/><Relationship Id="rId142" Type="http://schemas.openxmlformats.org/officeDocument/2006/relationships/hyperlink" Target="https://news.ycombinator.com/item?id=49589914" TargetMode="External"/><Relationship Id="rId143" Type="http://schemas.openxmlformats.org/officeDocument/2006/relationships/hyperlink" Target="https://news.ycombinator.com/item?id=47973939" TargetMode="External"/><Relationship Id="rId144" Type="http://schemas.openxmlformats.org/officeDocument/2006/relationships/hyperlink" Target="https://news.ycombinator.com/item?id=47380940" TargetMode="External"/><Relationship Id="rId145" Type="http://schemas.openxmlformats.org/officeDocument/2006/relationships/hyperlink" Target="https://news.ycombinator.com/item?id=49376007" TargetMode="External"/><Relationship Id="rId146" Type="http://schemas.openxmlformats.org/officeDocument/2006/relationships/hyperlink" Target="https://news.ycombinator.com/item?id=46909124" TargetMode="External"/><Relationship Id="rId147" Type="http://schemas.openxmlformats.org/officeDocument/2006/relationships/hyperlink" Target="https://news.ycombinator.com/item?id=46576137" TargetMode="External"/><Relationship Id="rId148" Type="http://schemas.openxmlformats.org/officeDocument/2006/relationships/hyperlink" Target="https://news.ycombinator.com/item?id=47388256" TargetMode="External"/><Relationship Id="rId149" Type="http://schemas.openxmlformats.org/officeDocument/2006/relationships/hyperlink" Target="https://news.ycombinator.com/item?id=47320561" TargetMode="External"/><Relationship Id="rId150" Type="http://schemas.openxmlformats.org/officeDocument/2006/relationships/hyperlink" Target="https://news.ycombinator.com/item?id=46030857" TargetMode="External"/><Relationship Id="rId151" Type="http://schemas.openxmlformats.org/officeDocument/2006/relationships/hyperlink" Target="https://news.ycombinator.com/item?id=46333430" TargetMode="External"/><Relationship Id="rId152" Type="http://schemas.openxmlformats.org/officeDocument/2006/relationships/hyperlink" Target="https://news.ycombinator.com/item?id=46177352" TargetMode="External"/><Relationship Id="rId153" Type="http://schemas.openxmlformats.org/officeDocument/2006/relationships/hyperlink" Target="https://news.ycombinator.com/item?id=47443390" TargetMode="External"/><Relationship Id="rId154" Type="http://schemas.openxmlformats.org/officeDocument/2006/relationships/hyperlink" Target="https://news.ycombinator.com/item?id=49525527" TargetMode="External"/><Relationship Id="rId155" Type="http://schemas.openxmlformats.org/officeDocument/2006/relationships/hyperlink" Target="https://news.ycombinator.com/item?id=48345691" TargetMode="External"/><Relationship Id="rId156" Type="http://schemas.openxmlformats.org/officeDocument/2006/relationships/hyperlink" Target="https://news.ycombinator.com/item?id=45527869" TargetMode="External"/><Relationship Id="rId157" Type="http://schemas.openxmlformats.org/officeDocument/2006/relationships/hyperlink" Target="https://news.ycombinator.com/item?id=48447950" TargetMode="External"/><Relationship Id="rId158" Type="http://schemas.openxmlformats.org/officeDocument/2006/relationships/hyperlink" Target="https://news.ycombinator.com/item?id=45903347" TargetMode="External"/><Relationship Id="rId159" Type="http://schemas.openxmlformats.org/officeDocument/2006/relationships/hyperlink" Target="https://news.ycombinator.com/item?id=48439240" TargetMode="External"/><Relationship Id="rId160" Type="http://schemas.openxmlformats.org/officeDocument/2006/relationships/hyperlink" Target="https://news.ycombinator.com/item?id=47615145" TargetMode="External"/><Relationship Id="rId161" Type="http://schemas.openxmlformats.org/officeDocument/2006/relationships/hyperlink" Target="https://news.ycombinator.com/item?id=49910250" TargetMode="External"/><Relationship Id="rId162" Type="http://schemas.openxmlformats.org/officeDocument/2006/relationships/hyperlink" Target="https://news.ycombinator.com/item?id=46516080" TargetMode="External"/><Relationship Id="rId163" Type="http://schemas.openxmlformats.org/officeDocument/2006/relationships/hyperlink" Target="https://news.ycombinator.com/item?id=49027099" TargetMode="External"/><Relationship Id="rId164" Type="http://schemas.openxmlformats.org/officeDocument/2006/relationships/hyperlink" Target="https://news.ycombinator.com/item?id=46988086" TargetMode="External"/><Relationship Id="rId165" Type="http://schemas.openxmlformats.org/officeDocument/2006/relationships/hyperlink" Target="https://news.ycombinator.com/item?id=49790384" TargetMode="External"/><Relationship Id="rId166" Type="http://schemas.openxmlformats.org/officeDocument/2006/relationships/hyperlink" Target="https://news.ycombinator.com/item?id=48730492" TargetMode="External"/><Relationship Id="rId167" Type="http://schemas.openxmlformats.org/officeDocument/2006/relationships/hyperlink" Target="https://news.ycombinator.com/item?id=46710403" TargetMode="External"/><Relationship Id="rId168" Type="http://schemas.openxmlformats.org/officeDocument/2006/relationships/hyperlink" Target="https://news.ycombinator.com/item?id=46564934" TargetMode="External"/><Relationship Id="rId169" Type="http://schemas.openxmlformats.org/officeDocument/2006/relationships/hyperlink" Target="https://news.ycombinator.com/item?id=47274567" TargetMode="External"/><Relationship Id="rId170" Type="http://schemas.openxmlformats.org/officeDocument/2006/relationships/hyperlink" Target="https://news.ycombinator.com/item?id=48221788" TargetMode="External"/><Relationship Id="rId171" Type="http://schemas.openxmlformats.org/officeDocument/2006/relationships/hyperlink" Target="https://news.ycombinator.com/item?id=48166158" TargetMode="External"/><Relationship Id="rId172" Type="http://schemas.openxmlformats.org/officeDocument/2006/relationships/hyperlink" Target="https://news.ycombinator.com/item?id=48096061" TargetMode="External"/><Relationship Id="rId173" Type="http://schemas.openxmlformats.org/officeDocument/2006/relationships/hyperlink" Target="https://news.ycombinator.com/item?id=48275546" TargetMode="External"/><Relationship Id="rId174" Type="http://schemas.openxmlformats.org/officeDocument/2006/relationships/hyperlink" Target="https://news.ycombinator.com/item?id=47088339" TargetMode="External"/><Relationship Id="rId175" Type="http://schemas.openxmlformats.org/officeDocument/2006/relationships/hyperlink" Target="https://news.ycombinator.com/item?id=47666811" TargetMode="External"/><Relationship Id="rId176" Type="http://schemas.openxmlformats.org/officeDocument/2006/relationships/hyperlink" Target="https://news.ycombinator.com/item?id=49308990" TargetMode="External"/><Relationship Id="rId177" Type="http://schemas.openxmlformats.org/officeDocument/2006/relationships/hyperlink" Target="https://news.ycombinator.com/item?id=47092547" TargetMode="External"/><Relationship Id="rId178" Type="http://schemas.openxmlformats.org/officeDocument/2006/relationships/hyperlink" Target="https://news.ycombinator.com/item?id=48721165" TargetMode="External"/><Relationship Id="rId179" Type="http://schemas.openxmlformats.org/officeDocument/2006/relationships/hyperlink" Target="https://news.ycombinator.com/item?id=49055813" TargetMode="External"/><Relationship Id="rId180" Type="http://schemas.openxmlformats.org/officeDocument/2006/relationships/hyperlink" Target="https://news.ycombinator.com/item?id=45776002" TargetMode="External"/><Relationship Id="rId181" Type="http://schemas.openxmlformats.org/officeDocument/2006/relationships/hyperlink" Target="https://news.ycombinator.com/item?id=46487082" TargetMode="External"/><Relationship Id="rId182" Type="http://schemas.openxmlformats.org/officeDocument/2006/relationships/hyperlink" Target="https://news.ycombinator.com/item?id=46445152" TargetMode="External"/><Relationship Id="rId183" Type="http://schemas.openxmlformats.org/officeDocument/2006/relationships/hyperlink" Target="https://news.ycombinator.com/item?id=45670817" TargetMode="External"/><Relationship Id="rId184" Type="http://schemas.openxmlformats.org/officeDocument/2006/relationships/hyperlink" Target="https://news.ycombinator.com/item?id=47689759" TargetMode="External"/><Relationship Id="rId185" Type="http://schemas.openxmlformats.org/officeDocument/2006/relationships/hyperlink" Target="https://news.ycombinator.com/item?id=46279773" TargetMode="External"/><Relationship Id="rId186" Type="http://schemas.openxmlformats.org/officeDocument/2006/relationships/hyperlink" Target="https://news.ycombinator.com/item?id=48934898" TargetMode="External"/><Relationship Id="rId187" Type="http://schemas.openxmlformats.org/officeDocument/2006/relationships/hyperlink" Target="https://news.ycombinator.com/item?id=48430217" TargetMode="External"/><Relationship Id="rId188" Type="http://schemas.openxmlformats.org/officeDocument/2006/relationships/hyperlink" Target="https://news.ycombinator.com/item?id=47675507" TargetMode="External"/><Relationship Id="rId189" Type="http://schemas.openxmlformats.org/officeDocument/2006/relationships/hyperlink" Target="https://news.ycombinator.com/item?id=48368918" TargetMode="External"/><Relationship Id="rId190" Type="http://schemas.openxmlformats.org/officeDocument/2006/relationships/hyperlink" Target="https://news.ycombinator.com/item?id=47486587" TargetMode="External"/><Relationship Id="rId191" Type="http://schemas.openxmlformats.org/officeDocument/2006/relationships/hyperlink" Target="https://news.ycombinator.com/item?id=47219084" TargetMode="External"/><Relationship Id="rId192" Type="http://schemas.openxmlformats.org/officeDocument/2006/relationships/hyperlink" Target="https://news.ycombinator.com/item?id=47814636" TargetMode="External"/><Relationship Id="rId193" Type="http://schemas.openxmlformats.org/officeDocument/2006/relationships/hyperlink" Target="https://news.ycombinator.com/item?id=46252408" TargetMode="External"/><Relationship Id="rId194" Type="http://schemas.openxmlformats.org/officeDocument/2006/relationships/hyperlink" Target="https://news.ycombinator.com/item?id=46726310" TargetMode="External"/><Relationship Id="rId195" Type="http://schemas.openxmlformats.org/officeDocument/2006/relationships/hyperlink" Target="https://news.ycombinator.com/item?id=47427207" TargetMode="External"/><Relationship Id="rId196" Type="http://schemas.openxmlformats.org/officeDocument/2006/relationships/hyperlink" Target="https://news.ycombinator.com/item?id=49937618" TargetMode="External"/><Relationship Id="rId197" Type="http://schemas.openxmlformats.org/officeDocument/2006/relationships/hyperlink" Target="https://news.ycombinator.com/item?id=46892700" TargetMode="External"/><Relationship Id="rId198" Type="http://schemas.openxmlformats.org/officeDocument/2006/relationships/hyperlink" Target="https://news.ycombinator.com/item?id=47137029" TargetMode="External"/><Relationship Id="rId199" Type="http://schemas.openxmlformats.org/officeDocument/2006/relationships/hyperlink" Target="https://news.ycombinator.com/item?id=47033705" TargetMode="External"/><Relationship Id="rId200" Type="http://schemas.openxmlformats.org/officeDocument/2006/relationships/hyperlink" Target="https://news.ycombinator.com/item?id=49903139" TargetMode="External"/><Relationship Id="rId201" Type="http://schemas.openxmlformats.org/officeDocument/2006/relationships/hyperlink" Target="https://news.ycombinator.com/item?id=48846461" TargetMode="External"/><Relationship Id="rId202" Type="http://schemas.openxmlformats.org/officeDocument/2006/relationships/hyperlink" Target="https://news.ycombinator.com/item?id=47484047" TargetMode="External"/><Relationship Id="rId203" Type="http://schemas.openxmlformats.org/officeDocument/2006/relationships/hyperlink" Target="https://news.ycombinator.com/item?id=46160226" TargetMode="External"/><Relationship Id="rId204" Type="http://schemas.openxmlformats.org/officeDocument/2006/relationships/hyperlink" Target="https://news.ycombinator.com/item?id=45514314" TargetMode="External"/><Relationship Id="rId205" Type="http://schemas.openxmlformats.org/officeDocument/2006/relationships/hyperlink" Target="https://news.ycombinator.com/item?id=48705434" TargetMode="External"/><Relationship Id="rId206" Type="http://schemas.openxmlformats.org/officeDocument/2006/relationships/hyperlink" Target="https://news.ycombinator.com/item?id=48861113" TargetMode="External"/><Relationship Id="rId207" Type="http://schemas.openxmlformats.org/officeDocument/2006/relationships/hyperlink" Target="https://news.ycombinator.com/item?id=49371653" TargetMode="External"/><Relationship Id="rId208" Type="http://schemas.openxmlformats.org/officeDocument/2006/relationships/hyperlink" Target="https://news.ycombinator.com/item?id=46886775" TargetMode="External"/><Relationship Id="rId209" Type="http://schemas.openxmlformats.org/officeDocument/2006/relationships/hyperlink" Target="https://news.ycombinator.com/item?id=47256614" TargetMode="External"/><Relationship Id="rId210" Type="http://schemas.openxmlformats.org/officeDocument/2006/relationships/hyperlink" Target="https://news.ycombinator.com/item?id=48301850" TargetMode="External"/><Relationship Id="rId211" Type="http://schemas.openxmlformats.org/officeDocument/2006/relationships/hyperlink" Target="https://news.ycombinator.com/item?id=46642593" TargetMode="External"/><Relationship Id="rId212" Type="http://schemas.openxmlformats.org/officeDocument/2006/relationships/hyperlink" Target="https://news.ycombinator.com/item?id=46475587" TargetMode="External"/><Relationship Id="rId213" Type="http://schemas.openxmlformats.org/officeDocument/2006/relationships/hyperlink" Target="https://news.ycombinator.com/item?id=47518670" TargetMode="External"/><Relationship Id="rId214" Type="http://schemas.openxmlformats.org/officeDocument/2006/relationships/hyperlink" Target="https://news.ycombinator.com/item?id=47636933" TargetMode="External"/><Relationship Id="rId215" Type="http://schemas.openxmlformats.org/officeDocument/2006/relationships/hyperlink" Target="https://news.ycombinator.com/item?id=46112589" TargetMode="External"/><Relationship Id="rId216" Type="http://schemas.openxmlformats.org/officeDocument/2006/relationships/hyperlink" Target="https://news.ycombinator.com/item?id=48136636" TargetMode="External"/><Relationship Id="rId217" Type="http://schemas.openxmlformats.org/officeDocument/2006/relationships/hyperlink" Target="https://news.ycombinator.com/item?id=49663205" TargetMode="External"/><Relationship Id="rId218" Type="http://schemas.openxmlformats.org/officeDocument/2006/relationships/hyperlink" Target="https://news.ycombinator.com/item?id=47004068" TargetMode="External"/><Relationship Id="rId219" Type="http://schemas.openxmlformats.org/officeDocument/2006/relationships/hyperlink" Target="https://news.ycombinator.com/item?id=48376612" TargetMode="External"/><Relationship Id="rId220" Type="http://schemas.openxmlformats.org/officeDocument/2006/relationships/hyperlink" Target="https://news.ycombinator.com/item?id=47850155" TargetMode="External"/><Relationship Id="rId221" Type="http://schemas.openxmlformats.org/officeDocument/2006/relationships/hyperlink" Target="https://news.ycombinator.com/item?id=49509410" TargetMode="External"/><Relationship Id="rId222" Type="http://schemas.openxmlformats.org/officeDocument/2006/relationships/hyperlink" Target="https://news.ycombinator.com/item?id=49141048" TargetMode="External"/><Relationship Id="rId223" Type="http://schemas.openxmlformats.org/officeDocument/2006/relationships/hyperlink" Target="https://news.ycombinator.com/item?id=46175024" TargetMode="External"/><Relationship Id="rId224" Type="http://schemas.openxmlformats.org/officeDocument/2006/relationships/hyperlink" Target="https://news.ycombinator.com/item?id=47064557" TargetMode="External"/><Relationship Id="rId225" Type="http://schemas.openxmlformats.org/officeDocument/2006/relationships/hyperlink" Target="https://news.ycombinator.com/item?id=46773926" TargetMode="External"/><Relationship Id="rId226" Type="http://schemas.openxmlformats.org/officeDocument/2006/relationships/hyperlink" Target="https://news.ycombinator.com/item?id=46657263" TargetMode="External"/><Relationship Id="rId227" Type="http://schemas.openxmlformats.org/officeDocument/2006/relationships/hyperlink" Target="https://news.ycombinator.com/item?id=46499216" TargetMode="External"/><Relationship Id="rId228" Type="http://schemas.openxmlformats.org/officeDocument/2006/relationships/hyperlink" Target="https://news.ycombinator.com/item?id=47419716" TargetMode="External"/><Relationship Id="rId229" Type="http://schemas.openxmlformats.org/officeDocument/2006/relationships/hyperlink" Target="https://news.ycombinator.com/item?id=46368913" TargetMode="External"/><Relationship Id="rId230" Type="http://schemas.openxmlformats.org/officeDocument/2006/relationships/hyperlink" Target="https://news.ycombinator.com/item?id=48826680" TargetMode="External"/><Relationship Id="rId231" Type="http://schemas.openxmlformats.org/officeDocument/2006/relationships/hyperlink" Target="https://news.ycombinator.com/item?id=46827004" TargetMode="External"/><Relationship Id="rId232" Type="http://schemas.openxmlformats.org/officeDocument/2006/relationships/hyperlink" Target="https://news.ycombinator.com/item?id=45791605" TargetMode="External"/><Relationship Id="rId233" Type="http://schemas.openxmlformats.org/officeDocument/2006/relationships/hyperlink" Target="https://news.ycombinator.com/item?id=47641994" TargetMode="External"/><Relationship Id="rId234" Type="http://schemas.openxmlformats.org/officeDocument/2006/relationships/hyperlink" Target="https://news.ycombinator.com/item?id=49941972" TargetMode="External"/><Relationship Id="rId235" Type="http://schemas.openxmlformats.org/officeDocument/2006/relationships/hyperlink" Target="https://news.ycombinator.com/item?id=46455842" TargetMode="External"/><Relationship Id="rId236" Type="http://schemas.openxmlformats.org/officeDocument/2006/relationships/hyperlink" Target="https://news.ycombinator.com/item?id=45552836" TargetMode="External"/><Relationship Id="rId237" Type="http://schemas.openxmlformats.org/officeDocument/2006/relationships/hyperlink" Target="https://news.ycombinator.com/item?id=49309061" TargetMode="External"/><Relationship Id="rId238" Type="http://schemas.openxmlformats.org/officeDocument/2006/relationships/hyperlink" Target="https://news.ycombinator.com/item?id=46781700" TargetMode="External"/><Relationship Id="rId239" Type="http://schemas.openxmlformats.org/officeDocument/2006/relationships/hyperlink" Target="https://news.ycombinator.com/item?id=45796787" TargetMode="External"/><Relationship Id="rId240" Type="http://schemas.openxmlformats.org/officeDocument/2006/relationships/hyperlink" Target="https://news.ycombinator.com/item?id=47977081" TargetMode="External"/><Relationship Id="rId241" Type="http://schemas.openxmlformats.org/officeDocument/2006/relationships/hyperlink" Target="https://news.ycombinator.com/item?id=46494594" TargetMode="External"/><Relationship Id="rId242" Type="http://schemas.openxmlformats.org/officeDocument/2006/relationships/hyperlink" Target="https://news.ycombinator.com/item?id=46331013" TargetMode="External"/><Relationship Id="rId243" Type="http://schemas.openxmlformats.org/officeDocument/2006/relationships/hyperlink" Target="https://news.ycombinator.com/item?id=45987539" TargetMode="External"/><Relationship Id="rId244" Type="http://schemas.openxmlformats.org/officeDocument/2006/relationships/hyperlink" Target="https://news.ycombinator.com/item?id=49746527" TargetMode="External"/><Relationship Id="rId245" Type="http://schemas.openxmlformats.org/officeDocument/2006/relationships/hyperlink" Target="https://news.ycombinator.com/item?id=49477766" TargetMode="External"/><Relationship Id="rId246" Type="http://schemas.openxmlformats.org/officeDocument/2006/relationships/hyperlink" Target="https://news.ycombinator.com/item?id=49559724" TargetMode="External"/><Relationship Id="rId247" Type="http://schemas.openxmlformats.org/officeDocument/2006/relationships/hyperlink" Target="https://news.ycombinator.com/item?id=46304548" TargetMode="External"/><Relationship Id="rId248" Type="http://schemas.openxmlformats.org/officeDocument/2006/relationships/hyperlink" Target="https://news.ycombinator.com/item?id=46736479" TargetMode="External"/><Relationship Id="rId249" Type="http://schemas.openxmlformats.org/officeDocument/2006/relationships/hyperlink" Target="https://news.ycombinator.com/item?id=48463964" TargetMode="External"/><Relationship Id="rId250" Type="http://schemas.openxmlformats.org/officeDocument/2006/relationships/hyperlink" Target="https://news.ycombinator.com/item?id=45539917" TargetMode="External"/><Relationship Id="rId251" Type="http://schemas.openxmlformats.org/officeDocument/2006/relationships/hyperlink" Target="https://news.ycombinator.com/item?id=49848927" TargetMode="External"/><Relationship Id="rId252" Type="http://schemas.openxmlformats.org/officeDocument/2006/relationships/hyperlink" Target="https://news.ycombinator.com/item?id=46553751" TargetMode="External"/><Relationship Id="rId253" Type="http://schemas.openxmlformats.org/officeDocument/2006/relationships/hyperlink" Target="https://news.ycombinator.com/item?id=47697780" TargetMode="External"/><Relationship Id="rId254" Type="http://schemas.openxmlformats.org/officeDocument/2006/relationships/hyperlink" Target="https://news.ycombinator.com/item?id=46936722" TargetMode="External"/><Relationship Id="rId255" Type="http://schemas.openxmlformats.org/officeDocument/2006/relationships/hyperlink" Target="https://news.ycombinator.com/item?id=47517440" TargetMode="External"/><Relationship Id="rId256" Type="http://schemas.openxmlformats.org/officeDocument/2006/relationships/hyperlink" Target="https://news.ycombinator.com/item?id=45531777" TargetMode="External"/><Relationship Id="rId257" Type="http://schemas.openxmlformats.org/officeDocument/2006/relationships/hyperlink" Target="https://news.ycombinator.com/item?id=48878654" TargetMode="External"/><Relationship Id="rId258" Type="http://schemas.openxmlformats.org/officeDocument/2006/relationships/hyperlink" Target="https://news.ycombinator.com/item?id=45613998" TargetMode="External"/><Relationship Id="rId259" Type="http://schemas.openxmlformats.org/officeDocument/2006/relationships/hyperlink" Target="https://news.ycombinator.com/item?id=45654501" TargetMode="External"/><Relationship Id="rId260" Type="http://schemas.openxmlformats.org/officeDocument/2006/relationships/hyperlink" Target="https://news.ycombinator.com/item?id=48830372" TargetMode="External"/><Relationship Id="rId261" Type="http://schemas.openxmlformats.org/officeDocument/2006/relationships/hyperlink" Target="https://news.ycombinator.com/item?id=47223001" TargetMode="External"/><Relationship Id="rId262" Type="http://schemas.openxmlformats.org/officeDocument/2006/relationships/hyperlink" Target="https://news.ycombinator.com/item?id=49006537" TargetMode="External"/><Relationship Id="rId263" Type="http://schemas.openxmlformats.org/officeDocument/2006/relationships/hyperlink" Target="https://news.ycombinator.com/item?id=45749594" TargetMode="External"/><Relationship Id="rId264" Type="http://schemas.openxmlformats.org/officeDocument/2006/relationships/hyperlink" Target="https://news.ycombinator.com/item?id=48592531" TargetMode="External"/><Relationship Id="rId265" Type="http://schemas.openxmlformats.org/officeDocument/2006/relationships/hyperlink" Target="https://news.ycombinator.com/item?id=47756701" TargetMode="External"/><Relationship Id="rId266" Type="http://schemas.openxmlformats.org/officeDocument/2006/relationships/hyperlink" Target="https://news.ycombinator.com/item?id=46764607" TargetMode="External"/><Relationship Id="rId267" Type="http://schemas.openxmlformats.org/officeDocument/2006/relationships/hyperlink" Target="https://news.ycombinator.com/item?id=49523682" TargetMode="External"/><Relationship Id="rId268" Type="http://schemas.openxmlformats.org/officeDocument/2006/relationships/hyperlink" Target="https://news.ycombinator.com/item?id=48817095" TargetMode="External"/><Relationship Id="rId269" Type="http://schemas.openxmlformats.org/officeDocument/2006/relationships/hyperlink" Target="https://news.ycombinator.com/item?id=48349760" TargetMode="External"/><Relationship Id="rId270" Type="http://schemas.openxmlformats.org/officeDocument/2006/relationships/hyperlink" Target="https://news.ycombinator.com/item?id=48607507" TargetMode="External"/><Relationship Id="rId271" Type="http://schemas.openxmlformats.org/officeDocument/2006/relationships/hyperlink" Target="https://news.ycombinator.com/item?id=46392217" TargetMode="External"/><Relationship Id="rId272" Type="http://schemas.openxmlformats.org/officeDocument/2006/relationships/hyperlink" Target="https://news.ycombinator.com/item?id=48514684" TargetMode="External"/><Relationship Id="rId273" Type="http://schemas.openxmlformats.org/officeDocument/2006/relationships/hyperlink" Target="https://news.ycombinator.com/item?id=47069597" TargetMode="External"/><Relationship Id="rId274" Type="http://schemas.openxmlformats.org/officeDocument/2006/relationships/hyperlink" Target="https://news.ycombinator.com/item?id=46010741" TargetMode="External"/><Relationship Id="rId275" Type="http://schemas.openxmlformats.org/officeDocument/2006/relationships/hyperlink" Target="https://news.ycombinator.com/item?id=47001486" TargetMode="External"/><Relationship Id="rId276" Type="http://schemas.openxmlformats.org/officeDocument/2006/relationships/hyperlink" Target="https://news.ycombinator.com/item?id=48140859" TargetMode="External"/><Relationship Id="rId277" Type="http://schemas.openxmlformats.org/officeDocument/2006/relationships/hyperlink" Target="https://news.ycombinator.com/item?id=47914594" TargetMode="External"/><Relationship Id="rId278" Type="http://schemas.openxmlformats.org/officeDocument/2006/relationships/hyperlink" Target="https://news.ycombinator.com/item?id=49150911" TargetMode="External"/><Relationship Id="rId279" Type="http://schemas.openxmlformats.org/officeDocument/2006/relationships/hyperlink" Target="https://news.ycombinator.com/item?id=48098282" TargetMode="External"/><Relationship Id="rId280" Type="http://schemas.openxmlformats.org/officeDocument/2006/relationships/hyperlink" Target="https://news.ycombinator.com/item?id=487851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60" customWidth="1"/>
    <col min="4" max="6" width="7" customWidth="1"/>
    <col min="7" max="7" width="8" customWidth="1"/>
    <col min="9" max="10" width="8" customWidth="1"/>
    <col min="12" max="12" width="8" customWidth="1"/>
    <col min="13" max="13" width="11" customWidth="1"/>
    <col min="15" max="15" width="30" customWidth="1"/>
    <col min="16" max="16" width="10" customWidth="1"/>
    <col min="18" max="19" width="10" customWidth="1"/>
    <col min="20" max="21" width="11" customWidth="1"/>
    <col min="22" max="22" width="18" customWidth="1"/>
    <col min="23" max="25" width="11" customWidth="1"/>
    <col min="26" max="26" width="45" customWidth="1"/>
  </cols>
  <sheetData>
    <row r="1" spans="1:1" x14ac:dyDescent="0.25">
      <c r="A1" s="1" t="s">
        <v>0</v>
      </c>
    </row>
    <row r="2" ht="4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" customHeight="1" spans="1:2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</row>
    <row r="5" spans="1:26" x14ac:dyDescent="0.25">
      <c r="A5" s="5">
        <v>1</v>
      </c>
      <c r="B5" s="5" t="s">
        <v>29</v>
      </c>
      <c r="C5" s="6" t="s">
        <v>30</v>
      </c>
      <c r="D5" s="7" t="s">
        <v>31</v>
      </c>
      <c r="E5" s="5">
        <v>1</v>
      </c>
      <c r="F5" s="5">
        <v>2</v>
      </c>
      <c r="G5" s="5">
        <v>2</v>
      </c>
      <c r="H5" s="5">
        <v>3</v>
      </c>
      <c r="I5" s="5">
        <v>2</v>
      </c>
      <c r="J5" s="5">
        <v>3</v>
      </c>
      <c r="K5" s="5">
        <v>3</v>
      </c>
      <c r="L5" s="8">
        <f>SUM(F5:K5)</f>
      </c>
      <c r="M5" s="5">
        <f>IF(AND(T5="pass",U5="pass",V5="pass",W5="pass",COUNTIF(F5:K5,"unsupported")=0),"Shortlist","Review")</f>
      </c>
      <c r="N5" s="9"/>
      <c r="O5" s="10"/>
      <c r="P5" s="5">
        <f>(E5&lt;&gt;'Score reasons'!C2)+(F5&lt;&gt;'Score reasons'!F2)+(G5&lt;&gt;'Score reasons'!I2)+(H5&lt;&gt;'Score reasons'!L2)+(I5&lt;&gt;'Score reasons'!O2)+(J5&lt;&gt;'Score reasons'!R2)+(K5&lt;&gt;'Score reasons'!U2)</f>
      </c>
      <c r="Q5" s="11">
        <v>15</v>
      </c>
      <c r="R5" s="11">
        <v>8</v>
      </c>
      <c r="S5" s="11">
        <v>16</v>
      </c>
      <c r="T5" s="11" t="s">
        <v>32</v>
      </c>
      <c r="U5" s="11" t="s">
        <v>32</v>
      </c>
      <c r="V5" s="11" t="s">
        <v>32</v>
      </c>
      <c r="W5" s="11" t="s">
        <v>32</v>
      </c>
      <c r="X5" s="11" t="s">
        <v>33</v>
      </c>
      <c r="Y5" s="11">
        <v>0</v>
      </c>
      <c r="Z5" s="12" t="s">
        <v>34</v>
      </c>
    </row>
    <row r="6" spans="1:26" x14ac:dyDescent="0.25">
      <c r="A6" s="5">
        <v>2</v>
      </c>
      <c r="B6" s="5" t="s">
        <v>29</v>
      </c>
      <c r="C6" s="6" t="s">
        <v>35</v>
      </c>
      <c r="D6" s="7" t="s">
        <v>31</v>
      </c>
      <c r="E6" s="5">
        <v>1</v>
      </c>
      <c r="F6" s="5">
        <v>1</v>
      </c>
      <c r="G6" s="5">
        <v>2</v>
      </c>
      <c r="H6" s="5">
        <v>3</v>
      </c>
      <c r="I6" s="5">
        <v>3</v>
      </c>
      <c r="J6" s="5">
        <v>3</v>
      </c>
      <c r="K6" s="5">
        <v>3</v>
      </c>
      <c r="L6" s="8">
        <f>SUM(F6:K6)</f>
      </c>
      <c r="M6" s="5">
        <f>IF(AND(T6="pass",U6="pass",V6="pass",W6="pass",COUNTIF(F6:K6,"unsupported")=0),"Shortlist","Review")</f>
      </c>
      <c r="N6" s="9"/>
      <c r="O6" s="10"/>
      <c r="P6" s="5">
        <f>(E6&lt;&gt;'Score reasons'!C3)+(F6&lt;&gt;'Score reasons'!F3)+(G6&lt;&gt;'Score reasons'!I3)+(H6&lt;&gt;'Score reasons'!L3)+(I6&lt;&gt;'Score reasons'!O3)+(J6&lt;&gt;'Score reasons'!R3)+(K6&lt;&gt;'Score reasons'!U3)</f>
      </c>
      <c r="Q6" s="11">
        <v>15</v>
      </c>
      <c r="R6" s="11">
        <v>8</v>
      </c>
      <c r="S6" s="11">
        <v>17</v>
      </c>
      <c r="T6" s="11" t="s">
        <v>32</v>
      </c>
      <c r="U6" s="11" t="s">
        <v>32</v>
      </c>
      <c r="V6" s="11" t="s">
        <v>32</v>
      </c>
      <c r="W6" s="11" t="s">
        <v>32</v>
      </c>
      <c r="X6" s="11" t="s">
        <v>33</v>
      </c>
      <c r="Y6" s="11">
        <v>0</v>
      </c>
      <c r="Z6" s="12" t="s">
        <v>36</v>
      </c>
    </row>
    <row r="7" spans="1:26" x14ac:dyDescent="0.25">
      <c r="A7" s="5">
        <v>3</v>
      </c>
      <c r="B7" s="5" t="s">
        <v>29</v>
      </c>
      <c r="C7" s="6" t="s">
        <v>37</v>
      </c>
      <c r="D7" s="7" t="s">
        <v>31</v>
      </c>
      <c r="E7" s="5">
        <v>1</v>
      </c>
      <c r="F7" s="5">
        <v>1</v>
      </c>
      <c r="G7" s="5">
        <v>2</v>
      </c>
      <c r="H7" s="5">
        <v>3</v>
      </c>
      <c r="I7" s="5">
        <v>3</v>
      </c>
      <c r="J7" s="5">
        <v>3</v>
      </c>
      <c r="K7" s="5">
        <v>3</v>
      </c>
      <c r="L7" s="8">
        <f>SUM(F7:K7)</f>
      </c>
      <c r="M7" s="5">
        <f>IF(AND(T7="pass",U7="pass",V7="pass",W7="pass",COUNTIF(F7:K7,"unsupported")=0),"Shortlist","Review")</f>
      </c>
      <c r="N7" s="9"/>
      <c r="O7" s="10"/>
      <c r="P7" s="5">
        <f>(E7&lt;&gt;'Score reasons'!C4)+(F7&lt;&gt;'Score reasons'!F4)+(G7&lt;&gt;'Score reasons'!I4)+(H7&lt;&gt;'Score reasons'!L4)+(I7&lt;&gt;'Score reasons'!O4)+(J7&lt;&gt;'Score reasons'!R4)+(K7&lt;&gt;'Score reasons'!U4)</f>
      </c>
      <c r="Q7" s="11">
        <v>15</v>
      </c>
      <c r="R7" s="11">
        <v>8</v>
      </c>
      <c r="S7" s="11">
        <v>18</v>
      </c>
      <c r="T7" s="11" t="s">
        <v>32</v>
      </c>
      <c r="U7" s="11" t="s">
        <v>32</v>
      </c>
      <c r="V7" s="11" t="s">
        <v>32</v>
      </c>
      <c r="W7" s="11" t="s">
        <v>32</v>
      </c>
      <c r="X7" s="11" t="s">
        <v>33</v>
      </c>
      <c r="Y7" s="11">
        <v>0</v>
      </c>
      <c r="Z7" s="12" t="s">
        <v>38</v>
      </c>
    </row>
    <row r="8" spans="1:26" x14ac:dyDescent="0.25">
      <c r="A8" s="5">
        <v>4</v>
      </c>
      <c r="B8" s="5" t="s">
        <v>29</v>
      </c>
      <c r="C8" s="6" t="s">
        <v>39</v>
      </c>
      <c r="D8" s="7" t="s">
        <v>31</v>
      </c>
      <c r="E8" s="5">
        <v>1</v>
      </c>
      <c r="F8" s="5">
        <v>2</v>
      </c>
      <c r="G8" s="5">
        <v>2</v>
      </c>
      <c r="H8" s="5">
        <v>3</v>
      </c>
      <c r="I8" s="5">
        <v>2</v>
      </c>
      <c r="J8" s="5">
        <v>3</v>
      </c>
      <c r="K8" s="5">
        <v>3</v>
      </c>
      <c r="L8" s="8">
        <f>SUM(F8:K8)</f>
      </c>
      <c r="M8" s="5">
        <f>IF(AND(T8="pass",U8="pass",V8="pass",W8="pass",COUNTIF(F8:K8,"unsupported")=0),"Shortlist","Review")</f>
      </c>
      <c r="N8" s="9"/>
      <c r="O8" s="10"/>
      <c r="P8" s="5">
        <f>(E8&lt;&gt;'Score reasons'!C5)+(F8&lt;&gt;'Score reasons'!F5)+(G8&lt;&gt;'Score reasons'!I5)+(H8&lt;&gt;'Score reasons'!L5)+(I8&lt;&gt;'Score reasons'!O5)+(J8&lt;&gt;'Score reasons'!R5)+(K8&lt;&gt;'Score reasons'!U5)</f>
      </c>
      <c r="Q8" s="11">
        <v>15</v>
      </c>
      <c r="R8" s="11">
        <v>8</v>
      </c>
      <c r="S8" s="11">
        <v>19</v>
      </c>
      <c r="T8" s="11" t="s">
        <v>32</v>
      </c>
      <c r="U8" s="11" t="s">
        <v>32</v>
      </c>
      <c r="V8" s="11" t="s">
        <v>32</v>
      </c>
      <c r="W8" s="11" t="s">
        <v>32</v>
      </c>
      <c r="X8" s="11" t="s">
        <v>33</v>
      </c>
      <c r="Y8" s="11">
        <v>0</v>
      </c>
      <c r="Z8" s="12" t="s">
        <v>40</v>
      </c>
    </row>
    <row r="9" spans="1:26" x14ac:dyDescent="0.25">
      <c r="A9" s="5">
        <v>5</v>
      </c>
      <c r="B9" s="5" t="s">
        <v>29</v>
      </c>
      <c r="C9" s="6" t="s">
        <v>41</v>
      </c>
      <c r="D9" s="7" t="s">
        <v>31</v>
      </c>
      <c r="E9" s="5">
        <v>1</v>
      </c>
      <c r="F9" s="5">
        <v>1</v>
      </c>
      <c r="G9" s="5">
        <v>2</v>
      </c>
      <c r="H9" s="5">
        <v>2</v>
      </c>
      <c r="I9" s="5">
        <v>3</v>
      </c>
      <c r="J9" s="5">
        <v>3</v>
      </c>
      <c r="K9" s="5">
        <v>3</v>
      </c>
      <c r="L9" s="8">
        <f>SUM(F9:K9)</f>
      </c>
      <c r="M9" s="5">
        <f>IF(AND(T9="pass",U9="pass",V9="pass",W9="pass",COUNTIF(F9:K9,"unsupported")=0),"Shortlist","Review")</f>
      </c>
      <c r="N9" s="9"/>
      <c r="O9" s="10"/>
      <c r="P9" s="5">
        <f>(E9&lt;&gt;'Score reasons'!C6)+(F9&lt;&gt;'Score reasons'!F6)+(G9&lt;&gt;'Score reasons'!I6)+(H9&lt;&gt;'Score reasons'!L6)+(I9&lt;&gt;'Score reasons'!O6)+(J9&lt;&gt;'Score reasons'!R6)+(K9&lt;&gt;'Score reasons'!U6)</f>
      </c>
      <c r="Q9" s="11">
        <v>14</v>
      </c>
      <c r="R9" s="11">
        <v>8</v>
      </c>
      <c r="S9" s="11">
        <v>20</v>
      </c>
      <c r="T9" s="11" t="s">
        <v>32</v>
      </c>
      <c r="U9" s="11" t="s">
        <v>32</v>
      </c>
      <c r="V9" s="11" t="s">
        <v>32</v>
      </c>
      <c r="W9" s="11" t="s">
        <v>32</v>
      </c>
      <c r="X9" s="11" t="s">
        <v>33</v>
      </c>
      <c r="Y9" s="11">
        <v>0</v>
      </c>
      <c r="Z9" s="12" t="s">
        <v>36</v>
      </c>
    </row>
    <row r="10" spans="1:26" x14ac:dyDescent="0.25">
      <c r="A10" s="5">
        <v>6</v>
      </c>
      <c r="B10" s="5" t="s">
        <v>29</v>
      </c>
      <c r="C10" s="6" t="s">
        <v>42</v>
      </c>
      <c r="D10" s="7" t="s">
        <v>31</v>
      </c>
      <c r="E10" s="5">
        <v>1</v>
      </c>
      <c r="F10" s="5">
        <v>2</v>
      </c>
      <c r="G10" s="5">
        <v>2</v>
      </c>
      <c r="H10" s="5">
        <v>2</v>
      </c>
      <c r="I10" s="5">
        <v>2</v>
      </c>
      <c r="J10" s="5">
        <v>3</v>
      </c>
      <c r="K10" s="5">
        <v>3</v>
      </c>
      <c r="L10" s="8">
        <f>SUM(F10:K10)</f>
      </c>
      <c r="M10" s="5">
        <f>IF(AND(T10="pass",U10="pass",V10="pass",W10="pass",COUNTIF(F10:K10,"unsupported")=0),"Shortlist","Review")</f>
      </c>
      <c r="N10" s="9"/>
      <c r="O10" s="10"/>
      <c r="P10" s="5">
        <f>(E10&lt;&gt;'Score reasons'!C7)+(F10&lt;&gt;'Score reasons'!F7)+(G10&lt;&gt;'Score reasons'!I7)+(H10&lt;&gt;'Score reasons'!L7)+(I10&lt;&gt;'Score reasons'!O7)+(J10&lt;&gt;'Score reasons'!R7)+(K10&lt;&gt;'Score reasons'!U7)</f>
      </c>
      <c r="Q10" s="11">
        <v>14</v>
      </c>
      <c r="R10" s="11">
        <v>8</v>
      </c>
      <c r="S10" s="11">
        <v>21</v>
      </c>
      <c r="T10" s="11" t="s">
        <v>32</v>
      </c>
      <c r="U10" s="11" t="s">
        <v>32</v>
      </c>
      <c r="V10" s="11" t="s">
        <v>32</v>
      </c>
      <c r="W10" s="11" t="s">
        <v>32</v>
      </c>
      <c r="X10" s="11" t="s">
        <v>33</v>
      </c>
      <c r="Y10" s="11">
        <v>0</v>
      </c>
      <c r="Z10" s="12" t="s">
        <v>43</v>
      </c>
    </row>
    <row r="11" spans="1:26" x14ac:dyDescent="0.25">
      <c r="A11" s="5">
        <v>7</v>
      </c>
      <c r="B11" s="5" t="s">
        <v>29</v>
      </c>
      <c r="C11" s="6" t="s">
        <v>44</v>
      </c>
      <c r="D11" s="7" t="s">
        <v>31</v>
      </c>
      <c r="E11" s="5">
        <v>1</v>
      </c>
      <c r="F11" s="5">
        <v>1</v>
      </c>
      <c r="G11" s="5">
        <v>2</v>
      </c>
      <c r="H11" s="5">
        <v>2</v>
      </c>
      <c r="I11" s="5">
        <v>3</v>
      </c>
      <c r="J11" s="5">
        <v>3</v>
      </c>
      <c r="K11" s="5">
        <v>3</v>
      </c>
      <c r="L11" s="8">
        <f>SUM(F11:K11)</f>
      </c>
      <c r="M11" s="5">
        <f>IF(AND(T11="pass",U11="pass",V11="pass",W11="pass",COUNTIF(F11:K11,"unsupported")=0),"Shortlist","Review")</f>
      </c>
      <c r="N11" s="9"/>
      <c r="O11" s="10"/>
      <c r="P11" s="5">
        <f>(E11&lt;&gt;'Score reasons'!C8)+(F11&lt;&gt;'Score reasons'!F8)+(G11&lt;&gt;'Score reasons'!I8)+(H11&lt;&gt;'Score reasons'!L8)+(I11&lt;&gt;'Score reasons'!O8)+(J11&lt;&gt;'Score reasons'!R8)+(K11&lt;&gt;'Score reasons'!U8)</f>
      </c>
      <c r="Q11" s="11">
        <v>14</v>
      </c>
      <c r="R11" s="11">
        <v>8</v>
      </c>
      <c r="S11" s="11">
        <v>22</v>
      </c>
      <c r="T11" s="11" t="s">
        <v>32</v>
      </c>
      <c r="U11" s="11" t="s">
        <v>32</v>
      </c>
      <c r="V11" s="11" t="s">
        <v>32</v>
      </c>
      <c r="W11" s="11" t="s">
        <v>32</v>
      </c>
      <c r="X11" s="11" t="s">
        <v>33</v>
      </c>
      <c r="Y11" s="11">
        <v>0</v>
      </c>
      <c r="Z11" s="12" t="s">
        <v>45</v>
      </c>
    </row>
    <row r="12" spans="1:26" x14ac:dyDescent="0.25">
      <c r="A12" s="5">
        <v>8</v>
      </c>
      <c r="B12" s="5" t="s">
        <v>29</v>
      </c>
      <c r="C12" s="6" t="s">
        <v>46</v>
      </c>
      <c r="D12" s="7" t="s">
        <v>31</v>
      </c>
      <c r="E12" s="5">
        <v>1</v>
      </c>
      <c r="F12" s="5">
        <v>1</v>
      </c>
      <c r="G12" s="5">
        <v>1</v>
      </c>
      <c r="H12" s="5">
        <v>2</v>
      </c>
      <c r="I12" s="5">
        <v>3</v>
      </c>
      <c r="J12" s="5">
        <v>3</v>
      </c>
      <c r="K12" s="5">
        <v>3</v>
      </c>
      <c r="L12" s="8">
        <f>SUM(F12:K12)</f>
      </c>
      <c r="M12" s="5">
        <f>IF(AND(T12="pass",U12="pass",V12="pass",W12="pass",COUNTIF(F12:K12,"unsupported")=0),"Shortlist","Review")</f>
      </c>
      <c r="N12" s="9"/>
      <c r="O12" s="10"/>
      <c r="P12" s="5">
        <f>(E12&lt;&gt;'Score reasons'!C9)+(F12&lt;&gt;'Score reasons'!F9)+(G12&lt;&gt;'Score reasons'!I9)+(H12&lt;&gt;'Score reasons'!L9)+(I12&lt;&gt;'Score reasons'!O9)+(J12&lt;&gt;'Score reasons'!R9)+(K12&lt;&gt;'Score reasons'!U9)</f>
      </c>
      <c r="Q12" s="11">
        <v>13</v>
      </c>
      <c r="R12" s="11">
        <v>8</v>
      </c>
      <c r="S12" s="11">
        <v>23</v>
      </c>
      <c r="T12" s="11" t="s">
        <v>32</v>
      </c>
      <c r="U12" s="11" t="s">
        <v>32</v>
      </c>
      <c r="V12" s="11" t="s">
        <v>32</v>
      </c>
      <c r="W12" s="11" t="s">
        <v>32</v>
      </c>
      <c r="X12" s="11" t="s">
        <v>33</v>
      </c>
      <c r="Y12" s="11">
        <v>0</v>
      </c>
      <c r="Z12" s="12" t="s">
        <v>47</v>
      </c>
    </row>
    <row r="13" spans="1:26" x14ac:dyDescent="0.25">
      <c r="A13" s="5">
        <v>9</v>
      </c>
      <c r="B13" s="5" t="s">
        <v>29</v>
      </c>
      <c r="C13" s="6" t="s">
        <v>48</v>
      </c>
      <c r="D13" s="7" t="s">
        <v>31</v>
      </c>
      <c r="E13" s="5">
        <v>1</v>
      </c>
      <c r="F13" s="5">
        <v>1</v>
      </c>
      <c r="G13" s="5">
        <v>2</v>
      </c>
      <c r="H13" s="5">
        <v>2</v>
      </c>
      <c r="I13" s="5">
        <v>2</v>
      </c>
      <c r="J13" s="5">
        <v>3</v>
      </c>
      <c r="K13" s="5">
        <v>3</v>
      </c>
      <c r="L13" s="8">
        <f>SUM(F13:K13)</f>
      </c>
      <c r="M13" s="5">
        <f>IF(AND(T13="pass",U13="pass",V13="pass",W13="pass",COUNTIF(F13:K13,"unsupported")=0),"Shortlist","Review")</f>
      </c>
      <c r="N13" s="9"/>
      <c r="O13" s="10"/>
      <c r="P13" s="5">
        <f>(E13&lt;&gt;'Score reasons'!C10)+(F13&lt;&gt;'Score reasons'!F10)+(G13&lt;&gt;'Score reasons'!I10)+(H13&lt;&gt;'Score reasons'!L10)+(I13&lt;&gt;'Score reasons'!O10)+(J13&lt;&gt;'Score reasons'!R10)+(K13&lt;&gt;'Score reasons'!U10)</f>
      </c>
      <c r="Q13" s="11">
        <v>13</v>
      </c>
      <c r="R13" s="11">
        <v>8</v>
      </c>
      <c r="S13" s="11">
        <v>24</v>
      </c>
      <c r="T13" s="11" t="s">
        <v>32</v>
      </c>
      <c r="U13" s="11" t="s">
        <v>32</v>
      </c>
      <c r="V13" s="11" t="s">
        <v>32</v>
      </c>
      <c r="W13" s="11" t="s">
        <v>32</v>
      </c>
      <c r="X13" s="11" t="s">
        <v>33</v>
      </c>
      <c r="Y13" s="11">
        <v>0</v>
      </c>
      <c r="Z13" s="12" t="s">
        <v>49</v>
      </c>
    </row>
    <row r="14" spans="1:26" x14ac:dyDescent="0.25">
      <c r="A14" s="5">
        <v>10</v>
      </c>
      <c r="B14" s="5" t="s">
        <v>29</v>
      </c>
      <c r="C14" s="6" t="s">
        <v>50</v>
      </c>
      <c r="D14" s="7" t="s">
        <v>31</v>
      </c>
      <c r="E14" s="5">
        <v>1</v>
      </c>
      <c r="F14" s="5">
        <v>1</v>
      </c>
      <c r="G14" s="5">
        <v>2</v>
      </c>
      <c r="H14" s="5">
        <v>2</v>
      </c>
      <c r="I14" s="5">
        <v>2</v>
      </c>
      <c r="J14" s="5">
        <v>3</v>
      </c>
      <c r="K14" s="5">
        <v>3</v>
      </c>
      <c r="L14" s="8">
        <f>SUM(F14:K14)</f>
      </c>
      <c r="M14" s="5">
        <f>IF(AND(T14="pass",U14="pass",V14="pass",W14="pass",COUNTIF(F14:K14,"unsupported")=0),"Shortlist","Review")</f>
      </c>
      <c r="N14" s="9"/>
      <c r="O14" s="10"/>
      <c r="P14" s="5">
        <f>(E14&lt;&gt;'Score reasons'!C11)+(F14&lt;&gt;'Score reasons'!F11)+(G14&lt;&gt;'Score reasons'!I11)+(H14&lt;&gt;'Score reasons'!L11)+(I14&lt;&gt;'Score reasons'!O11)+(J14&lt;&gt;'Score reasons'!R11)+(K14&lt;&gt;'Score reasons'!U11)</f>
      </c>
      <c r="Q14" s="11">
        <v>13</v>
      </c>
      <c r="R14" s="11">
        <v>8</v>
      </c>
      <c r="S14" s="11">
        <v>25</v>
      </c>
      <c r="T14" s="11" t="s">
        <v>32</v>
      </c>
      <c r="U14" s="11" t="s">
        <v>32</v>
      </c>
      <c r="V14" s="11" t="s">
        <v>32</v>
      </c>
      <c r="W14" s="11" t="s">
        <v>32</v>
      </c>
      <c r="X14" s="11" t="s">
        <v>33</v>
      </c>
      <c r="Y14" s="11">
        <v>0</v>
      </c>
      <c r="Z14" s="12" t="s">
        <v>51</v>
      </c>
    </row>
    <row r="15" spans="1:26" x14ac:dyDescent="0.25">
      <c r="A15" s="5">
        <v>11</v>
      </c>
      <c r="B15" s="5" t="s">
        <v>29</v>
      </c>
      <c r="C15" s="6" t="s">
        <v>52</v>
      </c>
      <c r="D15" s="7" t="s">
        <v>31</v>
      </c>
      <c r="E15" s="5">
        <v>1</v>
      </c>
      <c r="F15" s="5">
        <v>2</v>
      </c>
      <c r="G15" s="5">
        <v>2</v>
      </c>
      <c r="H15" s="5">
        <v>3</v>
      </c>
      <c r="I15" s="5">
        <v>1</v>
      </c>
      <c r="J15" s="5">
        <v>2</v>
      </c>
      <c r="K15" s="5">
        <v>3</v>
      </c>
      <c r="L15" s="8">
        <f>SUM(F15:K15)</f>
      </c>
      <c r="M15" s="5">
        <f>IF(AND(T15="pass",U15="pass",V15="pass",W15="pass",COUNTIF(F15:K15,"unsupported")=0),"Shortlist","Review")</f>
      </c>
      <c r="N15" s="9"/>
      <c r="O15" s="10"/>
      <c r="P15" s="5">
        <f>(E15&lt;&gt;'Score reasons'!C12)+(F15&lt;&gt;'Score reasons'!F12)+(G15&lt;&gt;'Score reasons'!I12)+(H15&lt;&gt;'Score reasons'!L12)+(I15&lt;&gt;'Score reasons'!O12)+(J15&lt;&gt;'Score reasons'!R12)+(K15&lt;&gt;'Score reasons'!U12)</f>
      </c>
      <c r="Q15" s="11">
        <v>13</v>
      </c>
      <c r="R15" s="11">
        <v>8</v>
      </c>
      <c r="S15" s="11">
        <v>26</v>
      </c>
      <c r="T15" s="11" t="s">
        <v>32</v>
      </c>
      <c r="U15" s="11" t="s">
        <v>32</v>
      </c>
      <c r="V15" s="11" t="s">
        <v>32</v>
      </c>
      <c r="W15" s="11" t="s">
        <v>32</v>
      </c>
      <c r="X15" s="11" t="s">
        <v>33</v>
      </c>
      <c r="Y15" s="11">
        <v>0</v>
      </c>
      <c r="Z15" s="12" t="s">
        <v>53</v>
      </c>
    </row>
    <row r="16" spans="1:26" x14ac:dyDescent="0.25">
      <c r="A16" s="5">
        <v>12</v>
      </c>
      <c r="B16" s="5" t="s">
        <v>29</v>
      </c>
      <c r="C16" s="6" t="s">
        <v>54</v>
      </c>
      <c r="D16" s="7" t="s">
        <v>31</v>
      </c>
      <c r="E16" s="5">
        <v>1</v>
      </c>
      <c r="F16" s="5">
        <v>1</v>
      </c>
      <c r="G16" s="5">
        <v>2</v>
      </c>
      <c r="H16" s="5">
        <v>2</v>
      </c>
      <c r="I16" s="5">
        <v>2</v>
      </c>
      <c r="J16" s="5">
        <v>3</v>
      </c>
      <c r="K16" s="5">
        <v>3</v>
      </c>
      <c r="L16" s="8">
        <f>SUM(F16:K16)</f>
      </c>
      <c r="M16" s="5">
        <f>IF(AND(T16="pass",U16="pass",V16="pass",W16="pass",COUNTIF(F16:K16,"unsupported")=0),"Shortlist","Review")</f>
      </c>
      <c r="N16" s="9"/>
      <c r="O16" s="10"/>
      <c r="P16" s="5">
        <f>(E16&lt;&gt;'Score reasons'!C13)+(F16&lt;&gt;'Score reasons'!F13)+(G16&lt;&gt;'Score reasons'!I13)+(H16&lt;&gt;'Score reasons'!L13)+(I16&lt;&gt;'Score reasons'!O13)+(J16&lt;&gt;'Score reasons'!R13)+(K16&lt;&gt;'Score reasons'!U13)</f>
      </c>
      <c r="Q16" s="11">
        <v>13</v>
      </c>
      <c r="R16" s="11">
        <v>8</v>
      </c>
      <c r="S16" s="11">
        <v>27</v>
      </c>
      <c r="T16" s="11" t="s">
        <v>32</v>
      </c>
      <c r="U16" s="11" t="s">
        <v>32</v>
      </c>
      <c r="V16" s="11" t="s">
        <v>32</v>
      </c>
      <c r="W16" s="11" t="s">
        <v>32</v>
      </c>
      <c r="X16" s="11" t="s">
        <v>33</v>
      </c>
      <c r="Y16" s="11">
        <v>0</v>
      </c>
      <c r="Z16" s="12" t="s">
        <v>55</v>
      </c>
    </row>
    <row r="17" spans="1:26" x14ac:dyDescent="0.25">
      <c r="A17" s="5">
        <v>13</v>
      </c>
      <c r="B17" s="5" t="s">
        <v>29</v>
      </c>
      <c r="C17" s="6" t="s">
        <v>56</v>
      </c>
      <c r="D17" s="7" t="s">
        <v>31</v>
      </c>
      <c r="E17" s="5">
        <v>1</v>
      </c>
      <c r="F17" s="5">
        <v>1</v>
      </c>
      <c r="G17" s="5">
        <v>1</v>
      </c>
      <c r="H17" s="5">
        <v>2</v>
      </c>
      <c r="I17" s="5">
        <v>2</v>
      </c>
      <c r="J17" s="5">
        <v>3</v>
      </c>
      <c r="K17" s="5">
        <v>3</v>
      </c>
      <c r="L17" s="8">
        <f>SUM(F17:K17)</f>
      </c>
      <c r="M17" s="5">
        <f>IF(AND(T17="pass",U17="pass",V17="pass",W17="pass",COUNTIF(F17:K17,"unsupported")=0),"Shortlist","Review")</f>
      </c>
      <c r="N17" s="9"/>
      <c r="O17" s="10"/>
      <c r="P17" s="5">
        <f>(E17&lt;&gt;'Score reasons'!C14)+(F17&lt;&gt;'Score reasons'!F14)+(G17&lt;&gt;'Score reasons'!I14)+(H17&lt;&gt;'Score reasons'!L14)+(I17&lt;&gt;'Score reasons'!O14)+(J17&lt;&gt;'Score reasons'!R14)+(K17&lt;&gt;'Score reasons'!U14)</f>
      </c>
      <c r="Q17" s="11">
        <v>12</v>
      </c>
      <c r="R17" s="11">
        <v>8</v>
      </c>
      <c r="S17" s="11">
        <v>28</v>
      </c>
      <c r="T17" s="11" t="s">
        <v>32</v>
      </c>
      <c r="U17" s="11" t="s">
        <v>32</v>
      </c>
      <c r="V17" s="11" t="s">
        <v>32</v>
      </c>
      <c r="W17" s="11" t="s">
        <v>32</v>
      </c>
      <c r="X17" s="11" t="s">
        <v>33</v>
      </c>
      <c r="Y17" s="11">
        <v>0</v>
      </c>
      <c r="Z17" s="12" t="s">
        <v>57</v>
      </c>
    </row>
    <row r="18" spans="1:26" x14ac:dyDescent="0.25">
      <c r="A18" s="5">
        <v>14</v>
      </c>
      <c r="B18" s="5" t="s">
        <v>29</v>
      </c>
      <c r="C18" s="6" t="s">
        <v>58</v>
      </c>
      <c r="D18" s="7" t="s">
        <v>31</v>
      </c>
      <c r="E18" s="5">
        <v>1</v>
      </c>
      <c r="F18" s="5">
        <v>2</v>
      </c>
      <c r="G18" s="5">
        <v>1</v>
      </c>
      <c r="H18" s="5">
        <v>1</v>
      </c>
      <c r="I18" s="5">
        <v>2</v>
      </c>
      <c r="J18" s="5">
        <v>2</v>
      </c>
      <c r="K18" s="5">
        <v>3</v>
      </c>
      <c r="L18" s="8">
        <f>SUM(F18:K18)</f>
      </c>
      <c r="M18" s="5">
        <f>IF(AND(T18="pass",U18="pass",V18="pass",W18="pass",COUNTIF(F18:K18,"unsupported")=0),"Shortlist","Review")</f>
      </c>
      <c r="N18" s="9"/>
      <c r="O18" s="10"/>
      <c r="P18" s="5">
        <f>(E18&lt;&gt;'Score reasons'!C15)+(F18&lt;&gt;'Score reasons'!F15)+(G18&lt;&gt;'Score reasons'!I15)+(H18&lt;&gt;'Score reasons'!L15)+(I18&lt;&gt;'Score reasons'!O15)+(J18&lt;&gt;'Score reasons'!R15)+(K18&lt;&gt;'Score reasons'!U15)</f>
      </c>
      <c r="Q18" s="11">
        <v>11</v>
      </c>
      <c r="R18" s="11">
        <v>9</v>
      </c>
      <c r="S18" s="11">
        <v>13</v>
      </c>
      <c r="T18" s="11" t="s">
        <v>32</v>
      </c>
      <c r="U18" s="11" t="s">
        <v>32</v>
      </c>
      <c r="V18" s="11" t="s">
        <v>32</v>
      </c>
      <c r="W18" s="11" t="s">
        <v>32</v>
      </c>
      <c r="X18" s="11" t="s">
        <v>33</v>
      </c>
      <c r="Y18" s="11">
        <v>0</v>
      </c>
      <c r="Z18" s="12" t="s">
        <v>59</v>
      </c>
    </row>
    <row r="19" spans="1:26" x14ac:dyDescent="0.25">
      <c r="A19" s="5">
        <v>15</v>
      </c>
      <c r="B19" s="5" t="s">
        <v>29</v>
      </c>
      <c r="C19" s="6" t="s">
        <v>60</v>
      </c>
      <c r="D19" s="7" t="s">
        <v>31</v>
      </c>
      <c r="E19" s="5">
        <v>1</v>
      </c>
      <c r="F19" s="5">
        <v>1</v>
      </c>
      <c r="G19" s="5">
        <v>1</v>
      </c>
      <c r="H19" s="5">
        <v>2</v>
      </c>
      <c r="I19" s="5">
        <v>2</v>
      </c>
      <c r="J19" s="5">
        <v>2</v>
      </c>
      <c r="K19" s="5">
        <v>3</v>
      </c>
      <c r="L19" s="8">
        <f>SUM(F19:K19)</f>
      </c>
      <c r="M19" s="5">
        <f>IF(AND(T19="pass",U19="pass",V19="pass",W19="pass",COUNTIF(F19:K19,"unsupported")=0),"Shortlist","Review")</f>
      </c>
      <c r="N19" s="9"/>
      <c r="O19" s="10"/>
      <c r="P19" s="5">
        <f>(E19&lt;&gt;'Score reasons'!C16)+(F19&lt;&gt;'Score reasons'!F16)+(G19&lt;&gt;'Score reasons'!I16)+(H19&lt;&gt;'Score reasons'!L16)+(I19&lt;&gt;'Score reasons'!O16)+(J19&lt;&gt;'Score reasons'!R16)+(K19&lt;&gt;'Score reasons'!U16)</f>
      </c>
      <c r="Q19" s="11">
        <v>11</v>
      </c>
      <c r="R19" s="11">
        <v>8</v>
      </c>
      <c r="S19" s="11">
        <v>29</v>
      </c>
      <c r="T19" s="11" t="s">
        <v>32</v>
      </c>
      <c r="U19" s="11" t="s">
        <v>32</v>
      </c>
      <c r="V19" s="11" t="s">
        <v>32</v>
      </c>
      <c r="W19" s="11" t="s">
        <v>32</v>
      </c>
      <c r="X19" s="11" t="s">
        <v>33</v>
      </c>
      <c r="Y19" s="11">
        <v>0</v>
      </c>
      <c r="Z19" s="12" t="s">
        <v>61</v>
      </c>
    </row>
    <row r="20" spans="1:26" x14ac:dyDescent="0.25">
      <c r="A20" s="5">
        <v>16</v>
      </c>
      <c r="B20" s="5" t="s">
        <v>62</v>
      </c>
      <c r="C20" s="6" t="s">
        <v>63</v>
      </c>
      <c r="D20" s="7" t="s">
        <v>31</v>
      </c>
      <c r="E20" s="5">
        <v>3</v>
      </c>
      <c r="F20" s="5">
        <v>3</v>
      </c>
      <c r="G20" s="5">
        <v>3</v>
      </c>
      <c r="H20" s="5">
        <v>3</v>
      </c>
      <c r="I20" s="5">
        <v>3</v>
      </c>
      <c r="J20" s="5">
        <v>2</v>
      </c>
      <c r="K20" s="5">
        <v>2</v>
      </c>
      <c r="L20" s="8">
        <f>SUM(F20:K20)</f>
      </c>
      <c r="M20" s="5">
        <f>IF(AND(T20="pass",U20="pass",V20="pass",W20="pass",COUNTIF(F20:K20,"unsupported")=0),"Shortlist","Review")</f>
      </c>
      <c r="N20" s="9"/>
      <c r="O20" s="10"/>
      <c r="P20" s="5">
        <f>(E20&lt;&gt;'Score reasons'!C17)+(F20&lt;&gt;'Score reasons'!F17)+(G20&lt;&gt;'Score reasons'!I17)+(H20&lt;&gt;'Score reasons'!L17)+(I20&lt;&gt;'Score reasons'!O17)+(J20&lt;&gt;'Score reasons'!R17)+(K20&lt;&gt;'Score reasons'!U17)</f>
      </c>
      <c r="Q20" s="11">
        <v>16</v>
      </c>
      <c r="R20" s="11">
        <v>11</v>
      </c>
      <c r="S20" s="11">
        <v>8</v>
      </c>
      <c r="T20" s="11" t="s">
        <v>32</v>
      </c>
      <c r="U20" s="11" t="s">
        <v>32</v>
      </c>
      <c r="V20" s="11" t="s">
        <v>32</v>
      </c>
      <c r="W20" s="11" t="s">
        <v>32</v>
      </c>
      <c r="X20" s="11" t="s">
        <v>33</v>
      </c>
      <c r="Y20" s="11">
        <v>64</v>
      </c>
      <c r="Z20" s="12" t="s">
        <v>64</v>
      </c>
    </row>
    <row r="21" spans="1:26" x14ac:dyDescent="0.25">
      <c r="A21" s="5">
        <v>17</v>
      </c>
      <c r="B21" s="5" t="s">
        <v>62</v>
      </c>
      <c r="C21" s="6" t="s">
        <v>65</v>
      </c>
      <c r="D21" s="7" t="s">
        <v>31</v>
      </c>
      <c r="E21" s="5">
        <v>2</v>
      </c>
      <c r="F21" s="5">
        <v>3</v>
      </c>
      <c r="G21" s="5">
        <v>2</v>
      </c>
      <c r="H21" s="5">
        <v>3</v>
      </c>
      <c r="I21" s="5">
        <v>2</v>
      </c>
      <c r="J21" s="5">
        <v>2</v>
      </c>
      <c r="K21" s="5">
        <v>2</v>
      </c>
      <c r="L21" s="8">
        <f>SUM(F21:K21)</f>
      </c>
      <c r="M21" s="5">
        <f>IF(AND(T21="pass",U21="pass",V21="pass",W21="pass",COUNTIF(F21:K21,"unsupported")=0),"Shortlist","Review")</f>
      </c>
      <c r="N21" s="9"/>
      <c r="O21" s="10"/>
      <c r="P21" s="5">
        <f>(E21&lt;&gt;'Score reasons'!C18)+(F21&lt;&gt;'Score reasons'!F18)+(G21&lt;&gt;'Score reasons'!I18)+(H21&lt;&gt;'Score reasons'!L18)+(I21&lt;&gt;'Score reasons'!O18)+(J21&lt;&gt;'Score reasons'!R18)+(K21&lt;&gt;'Score reasons'!U18)</f>
      </c>
      <c r="Q21" s="11">
        <v>14</v>
      </c>
      <c r="R21" s="11">
        <v>13</v>
      </c>
      <c r="S21" s="11">
        <v>7</v>
      </c>
      <c r="T21" s="11" t="s">
        <v>32</v>
      </c>
      <c r="U21" s="11" t="s">
        <v>32</v>
      </c>
      <c r="V21" s="11" t="s">
        <v>32</v>
      </c>
      <c r="W21" s="11" t="s">
        <v>32</v>
      </c>
      <c r="X21" s="11" t="s">
        <v>33</v>
      </c>
      <c r="Y21" s="11">
        <v>18</v>
      </c>
      <c r="Z21" s="12" t="s">
        <v>66</v>
      </c>
    </row>
    <row r="22" spans="1:26" x14ac:dyDescent="0.25">
      <c r="A22" s="5">
        <v>18</v>
      </c>
      <c r="B22" s="5" t="s">
        <v>62</v>
      </c>
      <c r="C22" s="6" t="s">
        <v>67</v>
      </c>
      <c r="D22" s="7" t="s">
        <v>31</v>
      </c>
      <c r="E22" s="5">
        <v>2</v>
      </c>
      <c r="F22" s="5">
        <v>2</v>
      </c>
      <c r="G22" s="5">
        <v>2</v>
      </c>
      <c r="H22" s="5">
        <v>3</v>
      </c>
      <c r="I22" s="5">
        <v>3</v>
      </c>
      <c r="J22" s="5">
        <v>2</v>
      </c>
      <c r="K22" s="5">
        <v>2</v>
      </c>
      <c r="L22" s="8">
        <f>SUM(F22:K22)</f>
      </c>
      <c r="M22" s="5">
        <f>IF(AND(T22="pass",U22="pass",V22="pass",W22="pass",COUNTIF(F22:K22,"unsupported")=0),"Shortlist","Review")</f>
      </c>
      <c r="N22" s="9"/>
      <c r="O22" s="10"/>
      <c r="P22" s="5">
        <f>(E22&lt;&gt;'Score reasons'!C19)+(F22&lt;&gt;'Score reasons'!F19)+(G22&lt;&gt;'Score reasons'!I19)+(H22&lt;&gt;'Score reasons'!L19)+(I22&lt;&gt;'Score reasons'!O19)+(J22&lt;&gt;'Score reasons'!R19)+(K22&lt;&gt;'Score reasons'!U19)</f>
      </c>
      <c r="Q22" s="11">
        <v>14</v>
      </c>
      <c r="R22" s="11">
        <v>9</v>
      </c>
      <c r="S22" s="11">
        <v>14</v>
      </c>
      <c r="T22" s="11" t="s">
        <v>32</v>
      </c>
      <c r="U22" s="11" t="s">
        <v>32</v>
      </c>
      <c r="V22" s="11" t="s">
        <v>32</v>
      </c>
      <c r="W22" s="11" t="s">
        <v>32</v>
      </c>
      <c r="X22" s="11" t="s">
        <v>33</v>
      </c>
      <c r="Y22" s="11">
        <v>21</v>
      </c>
      <c r="Z22" s="12" t="s">
        <v>68</v>
      </c>
    </row>
    <row r="23" spans="1:26" x14ac:dyDescent="0.25">
      <c r="A23" s="5">
        <v>19</v>
      </c>
      <c r="B23" s="5" t="s">
        <v>62</v>
      </c>
      <c r="C23" s="6" t="s">
        <v>69</v>
      </c>
      <c r="D23" s="7" t="s">
        <v>31</v>
      </c>
      <c r="E23" s="5">
        <v>1</v>
      </c>
      <c r="F23" s="5">
        <v>2</v>
      </c>
      <c r="G23" s="5">
        <v>2</v>
      </c>
      <c r="H23" s="5">
        <v>3</v>
      </c>
      <c r="I23" s="5">
        <v>3</v>
      </c>
      <c r="J23" s="5">
        <v>2</v>
      </c>
      <c r="K23" s="5">
        <v>2</v>
      </c>
      <c r="L23" s="8">
        <f>SUM(F23:K23)</f>
      </c>
      <c r="M23" s="5">
        <f>IF(AND(T23="pass",U23="pass",V23="pass",W23="pass",COUNTIF(F23:K23,"unsupported")=0),"Shortlist","Review")</f>
      </c>
      <c r="N23" s="9"/>
      <c r="O23" s="10"/>
      <c r="P23" s="5">
        <f>(E23&lt;&gt;'Score reasons'!C20)+(F23&lt;&gt;'Score reasons'!F20)+(G23&lt;&gt;'Score reasons'!I20)+(H23&lt;&gt;'Score reasons'!L20)+(I23&lt;&gt;'Score reasons'!O20)+(J23&lt;&gt;'Score reasons'!R20)+(K23&lt;&gt;'Score reasons'!U20)</f>
      </c>
      <c r="Q23" s="11">
        <v>14</v>
      </c>
      <c r="R23" s="11">
        <v>8</v>
      </c>
      <c r="S23" s="11">
        <v>30</v>
      </c>
      <c r="T23" s="11" t="s">
        <v>32</v>
      </c>
      <c r="U23" s="11" t="s">
        <v>32</v>
      </c>
      <c r="V23" s="11" t="s">
        <v>32</v>
      </c>
      <c r="W23" s="11" t="s">
        <v>32</v>
      </c>
      <c r="X23" s="11" t="s">
        <v>33</v>
      </c>
      <c r="Y23" s="11">
        <v>1</v>
      </c>
      <c r="Z23" s="12" t="s">
        <v>70</v>
      </c>
    </row>
    <row r="24" spans="1:26" x14ac:dyDescent="0.25">
      <c r="A24" s="5">
        <v>20</v>
      </c>
      <c r="B24" s="5" t="s">
        <v>62</v>
      </c>
      <c r="C24" s="6" t="s">
        <v>71</v>
      </c>
      <c r="D24" s="7" t="s">
        <v>31</v>
      </c>
      <c r="E24" s="5">
        <v>1</v>
      </c>
      <c r="F24" s="5">
        <v>2</v>
      </c>
      <c r="G24" s="5">
        <v>3</v>
      </c>
      <c r="H24" s="5">
        <v>3</v>
      </c>
      <c r="I24" s="5">
        <v>2</v>
      </c>
      <c r="J24" s="5">
        <v>2</v>
      </c>
      <c r="K24" s="5">
        <v>2</v>
      </c>
      <c r="L24" s="8">
        <f>SUM(F24:K24)</f>
      </c>
      <c r="M24" s="5">
        <f>IF(AND(T24="pass",U24="pass",V24="pass",W24="pass",COUNTIF(F24:K24,"unsupported")=0),"Shortlist","Review")</f>
      </c>
      <c r="N24" s="9"/>
      <c r="O24" s="10"/>
      <c r="P24" s="5">
        <f>(E24&lt;&gt;'Score reasons'!C21)+(F24&lt;&gt;'Score reasons'!F21)+(G24&lt;&gt;'Score reasons'!I21)+(H24&lt;&gt;'Score reasons'!L21)+(I24&lt;&gt;'Score reasons'!O21)+(J24&lt;&gt;'Score reasons'!R21)+(K24&lt;&gt;'Score reasons'!U21)</f>
      </c>
      <c r="Q24" s="11">
        <v>14</v>
      </c>
      <c r="R24" s="11">
        <v>7</v>
      </c>
      <c r="S24" s="11">
        <v>32</v>
      </c>
      <c r="T24" s="11" t="s">
        <v>32</v>
      </c>
      <c r="U24" s="11" t="s">
        <v>32</v>
      </c>
      <c r="V24" s="11" t="s">
        <v>32</v>
      </c>
      <c r="W24" s="11" t="s">
        <v>32</v>
      </c>
      <c r="X24" s="11" t="s">
        <v>33</v>
      </c>
      <c r="Y24" s="11">
        <v>4</v>
      </c>
      <c r="Z24" s="12" t="s">
        <v>72</v>
      </c>
    </row>
    <row r="25" spans="1:26" x14ac:dyDescent="0.25">
      <c r="A25" s="5">
        <v>21</v>
      </c>
      <c r="B25" s="5" t="s">
        <v>62</v>
      </c>
      <c r="C25" s="6" t="s">
        <v>73</v>
      </c>
      <c r="D25" s="7" t="s">
        <v>31</v>
      </c>
      <c r="E25" s="5">
        <v>1</v>
      </c>
      <c r="F25" s="5">
        <v>2</v>
      </c>
      <c r="G25" s="5">
        <v>2</v>
      </c>
      <c r="H25" s="5">
        <v>2</v>
      </c>
      <c r="I25" s="5">
        <v>3</v>
      </c>
      <c r="J25" s="5">
        <v>2</v>
      </c>
      <c r="K25" s="5">
        <v>2</v>
      </c>
      <c r="L25" s="8">
        <f>SUM(F25:K25)</f>
      </c>
      <c r="M25" s="5">
        <f>IF(AND(T25="pass",U25="pass",V25="pass",W25="pass",COUNTIF(F25:K25,"unsupported")=0),"Shortlist","Review")</f>
      </c>
      <c r="N25" s="9"/>
      <c r="O25" s="10"/>
      <c r="P25" s="5">
        <f>(E25&lt;&gt;'Score reasons'!C22)+(F25&lt;&gt;'Score reasons'!F22)+(G25&lt;&gt;'Score reasons'!I22)+(H25&lt;&gt;'Score reasons'!L22)+(I25&lt;&gt;'Score reasons'!O22)+(J25&lt;&gt;'Score reasons'!R22)+(K25&lt;&gt;'Score reasons'!U22)</f>
      </c>
      <c r="Q25" s="11">
        <v>13</v>
      </c>
      <c r="R25" s="11">
        <v>10</v>
      </c>
      <c r="S25" s="11">
        <v>12</v>
      </c>
      <c r="T25" s="11" t="s">
        <v>32</v>
      </c>
      <c r="U25" s="11" t="s">
        <v>32</v>
      </c>
      <c r="V25" s="11" t="s">
        <v>32</v>
      </c>
      <c r="W25" s="11" t="s">
        <v>32</v>
      </c>
      <c r="X25" s="11" t="s">
        <v>33</v>
      </c>
      <c r="Y25" s="11">
        <v>5</v>
      </c>
      <c r="Z25" s="12" t="s">
        <v>74</v>
      </c>
    </row>
    <row r="26" spans="1:26" x14ac:dyDescent="0.25">
      <c r="A26" s="5">
        <v>22</v>
      </c>
      <c r="B26" s="5" t="s">
        <v>62</v>
      </c>
      <c r="C26" s="6" t="s">
        <v>75</v>
      </c>
      <c r="D26" s="7" t="s">
        <v>31</v>
      </c>
      <c r="E26" s="5">
        <v>1</v>
      </c>
      <c r="F26" s="5">
        <v>1</v>
      </c>
      <c r="G26" s="5">
        <v>3</v>
      </c>
      <c r="H26" s="5">
        <v>3</v>
      </c>
      <c r="I26" s="5">
        <v>2</v>
      </c>
      <c r="J26" s="5">
        <v>2</v>
      </c>
      <c r="K26" s="5">
        <v>2</v>
      </c>
      <c r="L26" s="8">
        <f>SUM(F26:K26)</f>
      </c>
      <c r="M26" s="5">
        <f>IF(AND(T26="pass",U26="pass",V26="pass",W26="pass",COUNTIF(F26:K26,"unsupported")=0),"Shortlist","Review")</f>
      </c>
      <c r="N26" s="9"/>
      <c r="O26" s="10"/>
      <c r="P26" s="5">
        <f>(E26&lt;&gt;'Score reasons'!C23)+(F26&lt;&gt;'Score reasons'!F23)+(G26&lt;&gt;'Score reasons'!I23)+(H26&lt;&gt;'Score reasons'!L23)+(I26&lt;&gt;'Score reasons'!O23)+(J26&lt;&gt;'Score reasons'!R23)+(K26&lt;&gt;'Score reasons'!U23)</f>
      </c>
      <c r="Q26" s="11">
        <v>13</v>
      </c>
      <c r="R26" s="11">
        <v>7</v>
      </c>
      <c r="S26" s="11">
        <v>33</v>
      </c>
      <c r="T26" s="11" t="s">
        <v>32</v>
      </c>
      <c r="U26" s="11" t="s">
        <v>32</v>
      </c>
      <c r="V26" s="11" t="s">
        <v>32</v>
      </c>
      <c r="W26" s="11" t="s">
        <v>32</v>
      </c>
      <c r="X26" s="11" t="s">
        <v>33</v>
      </c>
      <c r="Y26" s="11">
        <v>5</v>
      </c>
      <c r="Z26" s="12" t="s">
        <v>76</v>
      </c>
    </row>
    <row r="27" spans="1:26" x14ac:dyDescent="0.25">
      <c r="A27" s="5">
        <v>23</v>
      </c>
      <c r="B27" s="5" t="s">
        <v>62</v>
      </c>
      <c r="C27" s="6" t="s">
        <v>77</v>
      </c>
      <c r="D27" s="7" t="s">
        <v>31</v>
      </c>
      <c r="E27" s="5">
        <v>1</v>
      </c>
      <c r="F27" s="5">
        <v>1</v>
      </c>
      <c r="G27" s="5">
        <v>3</v>
      </c>
      <c r="H27" s="5">
        <v>3</v>
      </c>
      <c r="I27" s="5">
        <v>2</v>
      </c>
      <c r="J27" s="5">
        <v>2</v>
      </c>
      <c r="K27" s="5">
        <v>2</v>
      </c>
      <c r="L27" s="8">
        <f>SUM(F27:K27)</f>
      </c>
      <c r="M27" s="5">
        <f>IF(AND(T27="pass",U27="pass",V27="pass",W27="pass",COUNTIF(F27:K27,"unsupported")=0),"Shortlist","Review")</f>
      </c>
      <c r="N27" s="9"/>
      <c r="O27" s="10"/>
      <c r="P27" s="5">
        <f>(E27&lt;&gt;'Score reasons'!C24)+(F27&lt;&gt;'Score reasons'!F24)+(G27&lt;&gt;'Score reasons'!I24)+(H27&lt;&gt;'Score reasons'!L24)+(I27&lt;&gt;'Score reasons'!O24)+(J27&lt;&gt;'Score reasons'!R24)+(K27&lt;&gt;'Score reasons'!U24)</f>
      </c>
      <c r="Q27" s="11">
        <v>13</v>
      </c>
      <c r="R27" s="11">
        <v>7</v>
      </c>
      <c r="S27" s="11">
        <v>34</v>
      </c>
      <c r="T27" s="11" t="s">
        <v>32</v>
      </c>
      <c r="U27" s="11" t="s">
        <v>32</v>
      </c>
      <c r="V27" s="11" t="s">
        <v>32</v>
      </c>
      <c r="W27" s="11" t="s">
        <v>32</v>
      </c>
      <c r="X27" s="11" t="s">
        <v>33</v>
      </c>
      <c r="Y27" s="11">
        <v>0</v>
      </c>
      <c r="Z27" s="12" t="s">
        <v>78</v>
      </c>
    </row>
    <row r="28" spans="1:26" x14ac:dyDescent="0.25">
      <c r="A28" s="5">
        <v>24</v>
      </c>
      <c r="B28" s="5" t="s">
        <v>62</v>
      </c>
      <c r="C28" s="6" t="s">
        <v>79</v>
      </c>
      <c r="D28" s="7" t="s">
        <v>31</v>
      </c>
      <c r="E28" s="5">
        <v>2</v>
      </c>
      <c r="F28" s="5">
        <v>2</v>
      </c>
      <c r="G28" s="5">
        <v>2</v>
      </c>
      <c r="H28" s="5">
        <v>2</v>
      </c>
      <c r="I28" s="5">
        <v>2</v>
      </c>
      <c r="J28" s="5">
        <v>2</v>
      </c>
      <c r="K28" s="5">
        <v>2</v>
      </c>
      <c r="L28" s="8">
        <f>SUM(F28:K28)</f>
      </c>
      <c r="M28" s="5">
        <f>IF(AND(T28="pass",U28="pass",V28="pass",W28="pass",COUNTIF(F28:K28,"unsupported")=0),"Shortlist","Review")</f>
      </c>
      <c r="N28" s="9"/>
      <c r="O28" s="10"/>
      <c r="P28" s="5">
        <f>(E28&lt;&gt;'Score reasons'!C25)+(F28&lt;&gt;'Score reasons'!F25)+(G28&lt;&gt;'Score reasons'!I25)+(H28&lt;&gt;'Score reasons'!L25)+(I28&lt;&gt;'Score reasons'!O25)+(J28&lt;&gt;'Score reasons'!R25)+(K28&lt;&gt;'Score reasons'!U25)</f>
      </c>
      <c r="Q28" s="11">
        <v>12</v>
      </c>
      <c r="R28" s="11">
        <v>11</v>
      </c>
      <c r="S28" s="11">
        <v>9</v>
      </c>
      <c r="T28" s="11" t="s">
        <v>32</v>
      </c>
      <c r="U28" s="11" t="s">
        <v>32</v>
      </c>
      <c r="V28" s="11" t="s">
        <v>32</v>
      </c>
      <c r="W28" s="11" t="s">
        <v>32</v>
      </c>
      <c r="X28" s="11" t="s">
        <v>33</v>
      </c>
      <c r="Y28" s="11">
        <v>46</v>
      </c>
      <c r="Z28" s="12" t="s">
        <v>80</v>
      </c>
    </row>
    <row r="29" spans="1:26" x14ac:dyDescent="0.25">
      <c r="A29" s="5">
        <v>25</v>
      </c>
      <c r="B29" s="5" t="s">
        <v>62</v>
      </c>
      <c r="C29" s="6" t="s">
        <v>81</v>
      </c>
      <c r="D29" s="7" t="s">
        <v>31</v>
      </c>
      <c r="E29" s="5">
        <v>1</v>
      </c>
      <c r="F29" s="5">
        <v>2</v>
      </c>
      <c r="G29" s="5">
        <v>2</v>
      </c>
      <c r="H29" s="5">
        <v>3</v>
      </c>
      <c r="I29" s="5">
        <v>2</v>
      </c>
      <c r="J29" s="5">
        <v>1</v>
      </c>
      <c r="K29" s="5">
        <v>2</v>
      </c>
      <c r="L29" s="8">
        <f>SUM(F29:K29)</f>
      </c>
      <c r="M29" s="5">
        <f>IF(AND(T29="pass",U29="pass",V29="pass",W29="pass",COUNTIF(F29:K29,"unsupported")=0),"Shortlist","Review")</f>
      </c>
      <c r="N29" s="9"/>
      <c r="O29" s="10"/>
      <c r="P29" s="5">
        <f>(E29&lt;&gt;'Score reasons'!C26)+(F29&lt;&gt;'Score reasons'!F26)+(G29&lt;&gt;'Score reasons'!I26)+(H29&lt;&gt;'Score reasons'!L26)+(I29&lt;&gt;'Score reasons'!O26)+(J29&lt;&gt;'Score reasons'!R26)+(K29&lt;&gt;'Score reasons'!U26)</f>
      </c>
      <c r="Q29" s="11">
        <v>12</v>
      </c>
      <c r="R29" s="11">
        <v>9</v>
      </c>
      <c r="S29" s="11">
        <v>15</v>
      </c>
      <c r="T29" s="11" t="s">
        <v>32</v>
      </c>
      <c r="U29" s="11" t="s">
        <v>32</v>
      </c>
      <c r="V29" s="11" t="s">
        <v>32</v>
      </c>
      <c r="W29" s="11" t="s">
        <v>32</v>
      </c>
      <c r="X29" s="11" t="s">
        <v>33</v>
      </c>
      <c r="Y29" s="11">
        <v>0</v>
      </c>
      <c r="Z29" s="12" t="s">
        <v>82</v>
      </c>
    </row>
    <row r="30" spans="1:26" x14ac:dyDescent="0.25">
      <c r="A30" s="5">
        <v>26</v>
      </c>
      <c r="B30" s="5" t="s">
        <v>62</v>
      </c>
      <c r="C30" s="6" t="s">
        <v>83</v>
      </c>
      <c r="D30" s="7" t="s">
        <v>31</v>
      </c>
      <c r="E30" s="5">
        <v>1</v>
      </c>
      <c r="F30" s="5">
        <v>1</v>
      </c>
      <c r="G30" s="5">
        <v>2</v>
      </c>
      <c r="H30" s="5">
        <v>2</v>
      </c>
      <c r="I30" s="5">
        <v>3</v>
      </c>
      <c r="J30" s="5">
        <v>2</v>
      </c>
      <c r="K30" s="5">
        <v>2</v>
      </c>
      <c r="L30" s="8">
        <f>SUM(F30:K30)</f>
      </c>
      <c r="M30" s="5">
        <f>IF(AND(T30="pass",U30="pass",V30="pass",W30="pass",COUNTIF(F30:K30,"unsupported")=0),"Shortlist","Review")</f>
      </c>
      <c r="N30" s="9"/>
      <c r="O30" s="10"/>
      <c r="P30" s="5">
        <f>(E30&lt;&gt;'Score reasons'!C27)+(F30&lt;&gt;'Score reasons'!F27)+(G30&lt;&gt;'Score reasons'!I27)+(H30&lt;&gt;'Score reasons'!L27)+(I30&lt;&gt;'Score reasons'!O27)+(J30&lt;&gt;'Score reasons'!R27)+(K30&lt;&gt;'Score reasons'!U27)</f>
      </c>
      <c r="Q30" s="11">
        <v>12</v>
      </c>
      <c r="R30" s="11">
        <v>8</v>
      </c>
      <c r="S30" s="11">
        <v>31</v>
      </c>
      <c r="T30" s="11" t="s">
        <v>32</v>
      </c>
      <c r="U30" s="11" t="s">
        <v>32</v>
      </c>
      <c r="V30" s="11" t="s">
        <v>32</v>
      </c>
      <c r="W30" s="11" t="s">
        <v>32</v>
      </c>
      <c r="X30" s="11" t="s">
        <v>33</v>
      </c>
      <c r="Y30" s="11">
        <v>0</v>
      </c>
      <c r="Z30" s="12" t="s">
        <v>84</v>
      </c>
    </row>
    <row r="31" spans="1:26" x14ac:dyDescent="0.25">
      <c r="A31" s="5">
        <v>27</v>
      </c>
      <c r="B31" s="5" t="s">
        <v>62</v>
      </c>
      <c r="C31" s="6" t="s">
        <v>85</v>
      </c>
      <c r="D31" s="7" t="s">
        <v>31</v>
      </c>
      <c r="E31" s="5">
        <v>1</v>
      </c>
      <c r="F31" s="5">
        <v>2</v>
      </c>
      <c r="G31" s="5">
        <v>1</v>
      </c>
      <c r="H31" s="5">
        <v>3</v>
      </c>
      <c r="I31" s="5">
        <v>2</v>
      </c>
      <c r="J31" s="5">
        <v>2</v>
      </c>
      <c r="K31" s="5">
        <v>2</v>
      </c>
      <c r="L31" s="8">
        <f>SUM(F31:K31)</f>
      </c>
      <c r="M31" s="5">
        <f>IF(AND(T31="pass",U31="pass",V31="pass",W31="pass",COUNTIF(F31:K31,"unsupported")=0),"Shortlist","Review")</f>
      </c>
      <c r="N31" s="9"/>
      <c r="O31" s="10"/>
      <c r="P31" s="5">
        <f>(E31&lt;&gt;'Score reasons'!C28)+(F31&lt;&gt;'Score reasons'!F28)+(G31&lt;&gt;'Score reasons'!I28)+(H31&lt;&gt;'Score reasons'!L28)+(I31&lt;&gt;'Score reasons'!O28)+(J31&lt;&gt;'Score reasons'!R28)+(K31&lt;&gt;'Score reasons'!U28)</f>
      </c>
      <c r="Q31" s="11">
        <v>12</v>
      </c>
      <c r="R31" s="11">
        <v>7</v>
      </c>
      <c r="S31" s="11">
        <v>35</v>
      </c>
      <c r="T31" s="11" t="s">
        <v>32</v>
      </c>
      <c r="U31" s="11" t="s">
        <v>32</v>
      </c>
      <c r="V31" s="11" t="s">
        <v>32</v>
      </c>
      <c r="W31" s="11" t="s">
        <v>32</v>
      </c>
      <c r="X31" s="11" t="s">
        <v>33</v>
      </c>
      <c r="Y31" s="11">
        <v>0</v>
      </c>
      <c r="Z31" s="12" t="s">
        <v>86</v>
      </c>
    </row>
    <row r="32" spans="1:26" x14ac:dyDescent="0.25">
      <c r="A32" s="5">
        <v>28</v>
      </c>
      <c r="B32" s="5" t="s">
        <v>87</v>
      </c>
      <c r="C32" s="6" t="s">
        <v>88</v>
      </c>
      <c r="D32" s="7" t="s">
        <v>31</v>
      </c>
      <c r="E32" s="5">
        <v>3</v>
      </c>
      <c r="F32" s="5">
        <v>3</v>
      </c>
      <c r="G32" s="5">
        <v>1</v>
      </c>
      <c r="H32" s="5">
        <v>3</v>
      </c>
      <c r="I32" s="5">
        <v>1</v>
      </c>
      <c r="J32" s="5" t="s">
        <v>89</v>
      </c>
      <c r="K32" s="5">
        <v>3</v>
      </c>
      <c r="L32" s="8">
        <f>SUM(E32:I32)+K32</f>
      </c>
      <c r="M32" s="5">
        <f>IF(L32&gt;=15,"Shortlist",IF(L32&lt;10,"Drop","Middle"))</f>
      </c>
      <c r="N32" s="9"/>
      <c r="O32" s="10"/>
      <c r="P32" s="5">
        <f>(E32&lt;&gt;'Score reasons'!C29)+(F32&lt;&gt;'Score reasons'!F29)+(G32&lt;&gt;'Score reasons'!I29)+(H32&lt;&gt;'Score reasons'!L29)+(I32&lt;&gt;'Score reasons'!O29)+(J32&lt;&gt;'Score reasons'!R29)+(K32&lt;&gt;'Score reasons'!U29)</f>
      </c>
      <c r="Q32" s="11">
        <v>14</v>
      </c>
      <c r="R32" s="11">
        <v>14</v>
      </c>
      <c r="S32" s="11">
        <v>1</v>
      </c>
      <c r="T32" s="11" t="s">
        <v>90</v>
      </c>
      <c r="U32" s="11" t="s">
        <v>90</v>
      </c>
      <c r="V32" s="11" t="s">
        <v>90</v>
      </c>
      <c r="W32" s="11" t="s">
        <v>90</v>
      </c>
      <c r="X32" s="11" t="s">
        <v>90</v>
      </c>
      <c r="Y32" s="11" t="s">
        <v>90</v>
      </c>
      <c r="Z32" s="12" t="s">
        <v>88</v>
      </c>
    </row>
    <row r="33" spans="1:26" x14ac:dyDescent="0.25">
      <c r="A33" s="5">
        <v>29</v>
      </c>
      <c r="B33" s="5" t="s">
        <v>87</v>
      </c>
      <c r="C33" s="6" t="s">
        <v>91</v>
      </c>
      <c r="D33" s="7" t="s">
        <v>31</v>
      </c>
      <c r="E33" s="5">
        <v>3</v>
      </c>
      <c r="F33" s="5">
        <v>3</v>
      </c>
      <c r="G33" s="5">
        <v>1</v>
      </c>
      <c r="H33" s="5">
        <v>3</v>
      </c>
      <c r="I33" s="5">
        <v>1</v>
      </c>
      <c r="J33" s="5" t="s">
        <v>89</v>
      </c>
      <c r="K33" s="5">
        <v>3</v>
      </c>
      <c r="L33" s="8">
        <f>SUM(E33:I33)+K33</f>
      </c>
      <c r="M33" s="5">
        <f>IF(L33&gt;=15,"Shortlist",IF(L33&lt;10,"Drop","Middle"))</f>
      </c>
      <c r="N33" s="9"/>
      <c r="O33" s="10"/>
      <c r="P33" s="5">
        <f>(E33&lt;&gt;'Score reasons'!C30)+(F33&lt;&gt;'Score reasons'!F30)+(G33&lt;&gt;'Score reasons'!I30)+(H33&lt;&gt;'Score reasons'!L30)+(I33&lt;&gt;'Score reasons'!O30)+(J33&lt;&gt;'Score reasons'!R30)+(K33&lt;&gt;'Score reasons'!U30)</f>
      </c>
      <c r="Q33" s="11">
        <v>14</v>
      </c>
      <c r="R33" s="11">
        <v>14</v>
      </c>
      <c r="S33" s="11">
        <v>2</v>
      </c>
      <c r="T33" s="11" t="s">
        <v>90</v>
      </c>
      <c r="U33" s="11" t="s">
        <v>90</v>
      </c>
      <c r="V33" s="11" t="s">
        <v>90</v>
      </c>
      <c r="W33" s="11" t="s">
        <v>90</v>
      </c>
      <c r="X33" s="11" t="s">
        <v>90</v>
      </c>
      <c r="Y33" s="11" t="s">
        <v>90</v>
      </c>
      <c r="Z33" s="12" t="s">
        <v>91</v>
      </c>
    </row>
    <row r="34" spans="1:26" x14ac:dyDescent="0.25">
      <c r="A34" s="5">
        <v>30</v>
      </c>
      <c r="B34" s="5" t="s">
        <v>87</v>
      </c>
      <c r="C34" s="6" t="s">
        <v>92</v>
      </c>
      <c r="D34" s="7" t="s">
        <v>31</v>
      </c>
      <c r="E34" s="5">
        <v>3</v>
      </c>
      <c r="F34" s="5">
        <v>3</v>
      </c>
      <c r="G34" s="5">
        <v>1</v>
      </c>
      <c r="H34" s="5">
        <v>3</v>
      </c>
      <c r="I34" s="5">
        <v>1</v>
      </c>
      <c r="J34" s="5" t="s">
        <v>89</v>
      </c>
      <c r="K34" s="5">
        <v>3</v>
      </c>
      <c r="L34" s="8">
        <f>SUM(E34:I34)+K34</f>
      </c>
      <c r="M34" s="5">
        <f>IF(L34&gt;=15,"Shortlist",IF(L34&lt;10,"Drop","Middle"))</f>
      </c>
      <c r="N34" s="9"/>
      <c r="O34" s="10"/>
      <c r="P34" s="5">
        <f>(E34&lt;&gt;'Score reasons'!C31)+(F34&lt;&gt;'Score reasons'!F31)+(G34&lt;&gt;'Score reasons'!I31)+(H34&lt;&gt;'Score reasons'!L31)+(I34&lt;&gt;'Score reasons'!O31)+(J34&lt;&gt;'Score reasons'!R31)+(K34&lt;&gt;'Score reasons'!U31)</f>
      </c>
      <c r="Q34" s="11">
        <v>14</v>
      </c>
      <c r="R34" s="11">
        <v>14</v>
      </c>
      <c r="S34" s="11">
        <v>3</v>
      </c>
      <c r="T34" s="11" t="s">
        <v>90</v>
      </c>
      <c r="U34" s="11" t="s">
        <v>90</v>
      </c>
      <c r="V34" s="11" t="s">
        <v>90</v>
      </c>
      <c r="W34" s="11" t="s">
        <v>90</v>
      </c>
      <c r="X34" s="11" t="s">
        <v>90</v>
      </c>
      <c r="Y34" s="11" t="s">
        <v>90</v>
      </c>
      <c r="Z34" s="12" t="s">
        <v>92</v>
      </c>
    </row>
    <row r="35" spans="1:26" x14ac:dyDescent="0.25">
      <c r="A35" s="5">
        <v>31</v>
      </c>
      <c r="B35" s="5" t="s">
        <v>87</v>
      </c>
      <c r="C35" s="6" t="s">
        <v>93</v>
      </c>
      <c r="D35" s="7" t="s">
        <v>31</v>
      </c>
      <c r="E35" s="5">
        <v>3</v>
      </c>
      <c r="F35" s="5">
        <v>3</v>
      </c>
      <c r="G35" s="5">
        <v>1</v>
      </c>
      <c r="H35" s="5">
        <v>3</v>
      </c>
      <c r="I35" s="5">
        <v>1</v>
      </c>
      <c r="J35" s="5" t="s">
        <v>89</v>
      </c>
      <c r="K35" s="5">
        <v>3</v>
      </c>
      <c r="L35" s="8">
        <f>SUM(E35:I35)+K35</f>
      </c>
      <c r="M35" s="5">
        <f>IF(L35&gt;=15,"Shortlist",IF(L35&lt;10,"Drop","Middle"))</f>
      </c>
      <c r="N35" s="9"/>
      <c r="O35" s="10"/>
      <c r="P35" s="5">
        <f>(E35&lt;&gt;'Score reasons'!C32)+(F35&lt;&gt;'Score reasons'!F32)+(G35&lt;&gt;'Score reasons'!I32)+(H35&lt;&gt;'Score reasons'!L32)+(I35&lt;&gt;'Score reasons'!O32)+(J35&lt;&gt;'Score reasons'!R32)+(K35&lt;&gt;'Score reasons'!U32)</f>
      </c>
      <c r="Q35" s="11">
        <v>14</v>
      </c>
      <c r="R35" s="11">
        <v>14</v>
      </c>
      <c r="S35" s="11">
        <v>4</v>
      </c>
      <c r="T35" s="11" t="s">
        <v>90</v>
      </c>
      <c r="U35" s="11" t="s">
        <v>90</v>
      </c>
      <c r="V35" s="11" t="s">
        <v>90</v>
      </c>
      <c r="W35" s="11" t="s">
        <v>90</v>
      </c>
      <c r="X35" s="11" t="s">
        <v>90</v>
      </c>
      <c r="Y35" s="11" t="s">
        <v>90</v>
      </c>
      <c r="Z35" s="12" t="s">
        <v>93</v>
      </c>
    </row>
    <row r="36" spans="1:26" x14ac:dyDescent="0.25">
      <c r="A36" s="5">
        <v>32</v>
      </c>
      <c r="B36" s="5" t="s">
        <v>87</v>
      </c>
      <c r="C36" s="6" t="s">
        <v>94</v>
      </c>
      <c r="D36" s="7" t="s">
        <v>31</v>
      </c>
      <c r="E36" s="5">
        <v>3</v>
      </c>
      <c r="F36" s="5">
        <v>3</v>
      </c>
      <c r="G36" s="5">
        <v>1</v>
      </c>
      <c r="H36" s="5">
        <v>3</v>
      </c>
      <c r="I36" s="5">
        <v>1</v>
      </c>
      <c r="J36" s="5" t="s">
        <v>89</v>
      </c>
      <c r="K36" s="5">
        <v>3</v>
      </c>
      <c r="L36" s="8">
        <f>SUM(E36:I36)+K36</f>
      </c>
      <c r="M36" s="5">
        <f>IF(L36&gt;=15,"Shortlist",IF(L36&lt;10,"Drop","Middle"))</f>
      </c>
      <c r="N36" s="9"/>
      <c r="O36" s="10"/>
      <c r="P36" s="5">
        <f>(E36&lt;&gt;'Score reasons'!C33)+(F36&lt;&gt;'Score reasons'!F33)+(G36&lt;&gt;'Score reasons'!I33)+(H36&lt;&gt;'Score reasons'!L33)+(I36&lt;&gt;'Score reasons'!O33)+(J36&lt;&gt;'Score reasons'!R33)+(K36&lt;&gt;'Score reasons'!U33)</f>
      </c>
      <c r="Q36" s="11">
        <v>14</v>
      </c>
      <c r="R36" s="11">
        <v>14</v>
      </c>
      <c r="S36" s="11">
        <v>5</v>
      </c>
      <c r="T36" s="11" t="s">
        <v>90</v>
      </c>
      <c r="U36" s="11" t="s">
        <v>90</v>
      </c>
      <c r="V36" s="11" t="s">
        <v>90</v>
      </c>
      <c r="W36" s="11" t="s">
        <v>90</v>
      </c>
      <c r="X36" s="11" t="s">
        <v>90</v>
      </c>
      <c r="Y36" s="11" t="s">
        <v>90</v>
      </c>
      <c r="Z36" s="12" t="s">
        <v>94</v>
      </c>
    </row>
    <row r="37" spans="1:26" x14ac:dyDescent="0.25">
      <c r="A37" s="5">
        <v>33</v>
      </c>
      <c r="B37" s="5" t="s">
        <v>87</v>
      </c>
      <c r="C37" s="6" t="s">
        <v>95</v>
      </c>
      <c r="D37" s="7" t="s">
        <v>31</v>
      </c>
      <c r="E37" s="5">
        <v>3</v>
      </c>
      <c r="F37" s="5">
        <v>3</v>
      </c>
      <c r="G37" s="5">
        <v>1</v>
      </c>
      <c r="H37" s="5">
        <v>3</v>
      </c>
      <c r="I37" s="5">
        <v>1</v>
      </c>
      <c r="J37" s="5" t="s">
        <v>89</v>
      </c>
      <c r="K37" s="5">
        <v>3</v>
      </c>
      <c r="L37" s="8">
        <f>SUM(E37:I37)+K37</f>
      </c>
      <c r="M37" s="5">
        <f>IF(L37&gt;=15,"Shortlist",IF(L37&lt;10,"Drop","Middle"))</f>
      </c>
      <c r="N37" s="9"/>
      <c r="O37" s="10"/>
      <c r="P37" s="5">
        <f>(E37&lt;&gt;'Score reasons'!C34)+(F37&lt;&gt;'Score reasons'!F34)+(G37&lt;&gt;'Score reasons'!I34)+(H37&lt;&gt;'Score reasons'!L34)+(I37&lt;&gt;'Score reasons'!O34)+(J37&lt;&gt;'Score reasons'!R34)+(K37&lt;&gt;'Score reasons'!U34)</f>
      </c>
      <c r="Q37" s="11">
        <v>14</v>
      </c>
      <c r="R37" s="11">
        <v>14</v>
      </c>
      <c r="S37" s="11">
        <v>6</v>
      </c>
      <c r="T37" s="11" t="s">
        <v>90</v>
      </c>
      <c r="U37" s="11" t="s">
        <v>90</v>
      </c>
      <c r="V37" s="11" t="s">
        <v>90</v>
      </c>
      <c r="W37" s="11" t="s">
        <v>90</v>
      </c>
      <c r="X37" s="11" t="s">
        <v>90</v>
      </c>
      <c r="Y37" s="11" t="s">
        <v>90</v>
      </c>
      <c r="Z37" s="12" t="s">
        <v>95</v>
      </c>
    </row>
    <row r="38" spans="1:26" x14ac:dyDescent="0.25">
      <c r="A38" s="5">
        <v>34</v>
      </c>
      <c r="B38" s="5" t="s">
        <v>87</v>
      </c>
      <c r="C38" s="6" t="s">
        <v>96</v>
      </c>
      <c r="D38" s="7" t="s">
        <v>31</v>
      </c>
      <c r="E38" s="5">
        <v>1</v>
      </c>
      <c r="F38" s="5">
        <v>2</v>
      </c>
      <c r="G38" s="5">
        <v>1</v>
      </c>
      <c r="H38" s="5">
        <v>3</v>
      </c>
      <c r="I38" s="5">
        <v>1</v>
      </c>
      <c r="J38" s="5" t="s">
        <v>89</v>
      </c>
      <c r="K38" s="5">
        <v>3</v>
      </c>
      <c r="L38" s="8">
        <f>SUM(E38:I38)+K38</f>
      </c>
      <c r="M38" s="5">
        <f>IF(L38&gt;=15,"Shortlist",IF(L38&lt;10,"Drop","Middle"))</f>
      </c>
      <c r="N38" s="9"/>
      <c r="O38" s="10"/>
      <c r="P38" s="5">
        <f>(E38&lt;&gt;'Score reasons'!C35)+(F38&lt;&gt;'Score reasons'!F35)+(G38&lt;&gt;'Score reasons'!I35)+(H38&lt;&gt;'Score reasons'!L35)+(I38&lt;&gt;'Score reasons'!O35)+(J38&lt;&gt;'Score reasons'!R35)+(K38&lt;&gt;'Score reasons'!U35)</f>
      </c>
      <c r="Q38" s="11">
        <v>11</v>
      </c>
      <c r="R38" s="11">
        <v>11</v>
      </c>
      <c r="S38" s="11">
        <v>10</v>
      </c>
      <c r="T38" s="11" t="s">
        <v>90</v>
      </c>
      <c r="U38" s="11" t="s">
        <v>90</v>
      </c>
      <c r="V38" s="11" t="s">
        <v>90</v>
      </c>
      <c r="W38" s="11" t="s">
        <v>90</v>
      </c>
      <c r="X38" s="11" t="s">
        <v>90</v>
      </c>
      <c r="Y38" s="11" t="s">
        <v>90</v>
      </c>
      <c r="Z38" s="12" t="s">
        <v>96</v>
      </c>
    </row>
    <row r="39" spans="1:26" x14ac:dyDescent="0.25">
      <c r="A39" s="5">
        <v>35</v>
      </c>
      <c r="B39" s="5" t="s">
        <v>87</v>
      </c>
      <c r="C39" s="6" t="s">
        <v>97</v>
      </c>
      <c r="D39" s="7" t="s">
        <v>31</v>
      </c>
      <c r="E39" s="5">
        <v>1</v>
      </c>
      <c r="F39" s="5">
        <v>2</v>
      </c>
      <c r="G39" s="5">
        <v>1</v>
      </c>
      <c r="H39" s="5">
        <v>3</v>
      </c>
      <c r="I39" s="5">
        <v>1</v>
      </c>
      <c r="J39" s="5" t="s">
        <v>89</v>
      </c>
      <c r="K39" s="5">
        <v>3</v>
      </c>
      <c r="L39" s="8">
        <f>SUM(E39:I39)+K39</f>
      </c>
      <c r="M39" s="5">
        <f>IF(L39&gt;=15,"Shortlist",IF(L39&lt;10,"Drop","Middle"))</f>
      </c>
      <c r="N39" s="9"/>
      <c r="O39" s="10"/>
      <c r="P39" s="5">
        <f>(E39&lt;&gt;'Score reasons'!C36)+(F39&lt;&gt;'Score reasons'!F36)+(G39&lt;&gt;'Score reasons'!I36)+(H39&lt;&gt;'Score reasons'!L36)+(I39&lt;&gt;'Score reasons'!O36)+(J39&lt;&gt;'Score reasons'!R36)+(K39&lt;&gt;'Score reasons'!U36)</f>
      </c>
      <c r="Q39" s="11">
        <v>11</v>
      </c>
      <c r="R39" s="11">
        <v>11</v>
      </c>
      <c r="S39" s="11">
        <v>11</v>
      </c>
      <c r="T39" s="11" t="s">
        <v>90</v>
      </c>
      <c r="U39" s="11" t="s">
        <v>90</v>
      </c>
      <c r="V39" s="11" t="s">
        <v>90</v>
      </c>
      <c r="W39" s="11" t="s">
        <v>90</v>
      </c>
      <c r="X39" s="11" t="s">
        <v>90</v>
      </c>
      <c r="Y39" s="11" t="s">
        <v>90</v>
      </c>
      <c r="Z39" s="12" t="s">
        <v>97</v>
      </c>
    </row>
  </sheetData>
  <autoFilter ref="A4:Z39"/>
  <mergeCells count="2">
    <mergeCell ref="A2:Z2"/>
    <mergeCell ref="A3:Z3"/>
  </mergeCells>
  <conditionalFormatting sqref="E5:K39">
    <cfRule type="cellIs" dxfId="0" priority="1" operator="equal">
      <formula>3</formula>
    </cfRule>
    <cfRule type="cellIs" dxfId="1" priority="2" operator="equal">
      <formula>2</formula>
    </cfRule>
    <cfRule type="cellIs" dxfId="2" priority="3" operator="equal">
      <formula>1</formula>
    </cfRule>
  </conditionalFormatting>
  <conditionalFormatting sqref="L5:L39">
    <cfRule type="cellIs" dxfId="3" priority="4" operator="greaterThan">
      <formula>14</formula>
    </cfRule>
    <cfRule type="cellIs" dxfId="4" priority="5" operator="between">
      <formula>10</formula>
      <formula>14</formula>
    </cfRule>
    <cfRule type="cellIs" dxfId="5" priority="6" operator="lessThan">
      <formula>10</formula>
    </cfRule>
  </conditionalFormatting>
  <conditionalFormatting sqref="M5:M39">
    <cfRule type="expression" dxfId="6" priority="7">
      <formula>$M5="Shortlist"</formula>
    </cfRule>
    <cfRule type="expression" dxfId="7" priority="8">
      <formula>$M5="Middle"</formula>
    </cfRule>
    <cfRule type="expression" dxfId="8" priority="9">
      <formula>$M5="Drop"</formula>
    </cfRule>
  </conditionalFormatting>
  <conditionalFormatting sqref="M5:M39">
    <cfRule type="expression" dxfId="9" priority="16">
      <formula>$M5="Review"</formula>
    </cfRule>
  </conditionalFormatting>
  <conditionalFormatting sqref="N5:N39">
    <cfRule type="expression" dxfId="10" priority="10">
      <formula>$N5="yes"</formula>
    </cfRule>
    <cfRule type="expression" dxfId="11" priority="11">
      <formula>$N5="maybe"</formula>
    </cfRule>
    <cfRule type="expression" dxfId="12" priority="12">
      <formula>$N5="no"</formula>
    </cfRule>
  </conditionalFormatting>
  <conditionalFormatting sqref="T5:W39">
    <cfRule type="expression" dxfId="13" priority="13">
      <formula>T5="pass"</formula>
    </cfRule>
    <cfRule type="expression" dxfId="14" priority="14">
      <formula>T5="unsupported"</formula>
    </cfRule>
    <cfRule type="expression" dxfId="15" priority="15">
      <formula>LEFT(T5,4)="FAIL"</formula>
    </cfRule>
  </conditionalFormatting>
  <dataValidations count="4">
    <dataValidation type="whole" showErrorMessage="1" errorTitle="Score" error="Scores are whole numbers from 1 to 3." sqref="E10:K39">
      <formula1>1</formula1>
      <formula2>3</formula2>
    </dataValidation>
    <dataValidation type="whole" showErrorMessage="1" errorTitle="Score" error="Scores are whole numbers from 1 to 3." sqref="E5:K39">
      <formula1>1</formula1>
      <formula2>3</formula2>
    </dataValidation>
    <dataValidation type="list" allowBlank="1" showErrorMessage="1" errorTitle="Pursue?" error="Choose yes, maybe, or no." sqref="N10:N39">
      <formula1>"yes,maybe,no"</formula1>
    </dataValidation>
    <dataValidation type="list" allowBlank="1" showErrorMessage="1" errorTitle="Pursue?" error="Choose yes, maybe, or no." sqref="N5:N39">
      <formula1>"yes,maybe,no"</formula1>
    </dataValidation>
  </dataValidations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  <hyperlink ref="D12" r:id="rId8"/>
    <hyperlink ref="D13" r:id="rId9"/>
    <hyperlink ref="D14" r:id="rId10"/>
    <hyperlink ref="D15" r:id="rId11"/>
    <hyperlink ref="D16" r:id="rId12"/>
    <hyperlink ref="D17" r:id="rId13"/>
    <hyperlink ref="D18" r:id="rId14"/>
    <hyperlink ref="D19" r:id="rId15"/>
    <hyperlink ref="D20" r:id="rId16"/>
    <hyperlink ref="D21" r:id="rId17"/>
    <hyperlink ref="D22" r:id="rId18"/>
    <hyperlink ref="D23" r:id="rId19"/>
    <hyperlink ref="D24" r:id="rId20"/>
    <hyperlink ref="D25" r:id="rId21"/>
    <hyperlink ref="D26" r:id="rId22"/>
    <hyperlink ref="D27" r:id="rId23"/>
    <hyperlink ref="D28" r:id="rId24"/>
    <hyperlink ref="D29" r:id="rId25"/>
    <hyperlink ref="D30" r:id="rId26"/>
    <hyperlink ref="D31" r:id="rId27"/>
    <hyperlink ref="D32" r:id="rId28"/>
    <hyperlink ref="D33" r:id="rId29"/>
    <hyperlink ref="D34" r:id="rId30"/>
    <hyperlink ref="D35" r:id="rId31"/>
    <hyperlink ref="D36" r:id="rId32"/>
    <hyperlink ref="D37" r:id="rId33"/>
    <hyperlink ref="D38" r:id="rId34"/>
    <hyperlink ref="D39" r:id="rId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5" customWidth="1"/>
    <col min="3" max="3" width="8" customWidth="1"/>
    <col min="4" max="4" width="16" customWidth="1"/>
    <col min="5" max="5" width="40" customWidth="1"/>
    <col min="6" max="6" width="8" customWidth="1"/>
    <col min="7" max="7" width="16" customWidth="1"/>
    <col min="8" max="8" width="40" customWidth="1"/>
    <col min="9" max="9" width="8" customWidth="1"/>
    <col min="10" max="10" width="16" customWidth="1"/>
    <col min="11" max="11" width="40" customWidth="1"/>
    <col min="12" max="12" width="8" customWidth="1"/>
    <col min="13" max="13" width="16" customWidth="1"/>
    <col min="14" max="14" width="40" customWidth="1"/>
    <col min="15" max="15" width="8" customWidth="1"/>
    <col min="16" max="16" width="16" customWidth="1"/>
    <col min="17" max="17" width="40" customWidth="1"/>
    <col min="18" max="18" width="8" customWidth="1"/>
    <col min="19" max="19" width="16" customWidth="1"/>
    <col min="20" max="20" width="40" customWidth="1"/>
    <col min="21" max="21" width="8" customWidth="1"/>
    <col min="22" max="22" width="16" customWidth="1"/>
    <col min="23" max="23" width="40" customWidth="1"/>
    <col min="24" max="24" width="14" customWidth="1"/>
    <col min="25" max="25" width="40" customWidth="1"/>
    <col min="26" max="26" width="14" customWidth="1"/>
    <col min="27" max="27" width="40" customWidth="1"/>
    <col min="28" max="28" width="14" customWidth="1"/>
    <col min="29" max="29" width="40" customWidth="1"/>
    <col min="30" max="30" width="14" customWidth="1"/>
    <col min="31" max="31" width="40" customWidth="1"/>
  </cols>
  <sheetData>
    <row r="1" ht="30" customHeight="1" spans="1:31" x14ac:dyDescent="0.25">
      <c r="A1" s="4" t="s">
        <v>3</v>
      </c>
      <c r="B1" s="4" t="s">
        <v>5</v>
      </c>
      <c r="C1" s="4" t="s">
        <v>98</v>
      </c>
      <c r="D1" s="4" t="s">
        <v>99</v>
      </c>
      <c r="E1" s="4" t="s">
        <v>100</v>
      </c>
      <c r="F1" s="4" t="s">
        <v>101</v>
      </c>
      <c r="G1" s="4" t="s">
        <v>102</v>
      </c>
      <c r="H1" s="4" t="s">
        <v>103</v>
      </c>
      <c r="I1" s="4" t="s">
        <v>104</v>
      </c>
      <c r="J1" s="4" t="s">
        <v>105</v>
      </c>
      <c r="K1" s="4" t="s">
        <v>106</v>
      </c>
      <c r="L1" s="4" t="s">
        <v>107</v>
      </c>
      <c r="M1" s="4" t="s">
        <v>108</v>
      </c>
      <c r="N1" s="4" t="s">
        <v>109</v>
      </c>
      <c r="O1" s="4" t="s">
        <v>110</v>
      </c>
      <c r="P1" s="4" t="s">
        <v>111</v>
      </c>
      <c r="Q1" s="4" t="s">
        <v>112</v>
      </c>
      <c r="R1" s="4" t="s">
        <v>113</v>
      </c>
      <c r="S1" s="4" t="s">
        <v>114</v>
      </c>
      <c r="T1" s="4" t="s">
        <v>115</v>
      </c>
      <c r="U1" s="4" t="s">
        <v>116</v>
      </c>
      <c r="V1" s="4" t="s">
        <v>117</v>
      </c>
      <c r="W1" s="4" t="s">
        <v>118</v>
      </c>
      <c r="X1" s="4" t="s">
        <v>119</v>
      </c>
      <c r="Y1" s="4" t="s">
        <v>120</v>
      </c>
      <c r="Z1" s="4" t="s">
        <v>121</v>
      </c>
      <c r="AA1" s="4" t="s">
        <v>122</v>
      </c>
      <c r="AB1" s="4" t="s">
        <v>123</v>
      </c>
      <c r="AC1" s="4" t="s">
        <v>124</v>
      </c>
      <c r="AD1" s="4" t="s">
        <v>125</v>
      </c>
      <c r="AE1" s="4" t="s">
        <v>126</v>
      </c>
    </row>
    <row r="2" spans="1:31" x14ac:dyDescent="0.25">
      <c r="A2" s="6">
        <v>1</v>
      </c>
      <c r="B2" s="6" t="s">
        <v>30</v>
      </c>
      <c r="C2" s="6">
        <v>1</v>
      </c>
      <c r="D2" s="6" t="s">
        <v>127</v>
      </c>
      <c r="E2" s="6" t="s">
        <v>128</v>
      </c>
      <c r="F2" s="6">
        <v>2</v>
      </c>
      <c r="G2" s="6" t="s">
        <v>129</v>
      </c>
      <c r="H2" s="6" t="s">
        <v>130</v>
      </c>
      <c r="I2" s="6">
        <v>2</v>
      </c>
      <c r="J2" s="6" t="s">
        <v>129</v>
      </c>
      <c r="K2" s="6" t="s">
        <v>131</v>
      </c>
      <c r="L2" s="6">
        <v>3</v>
      </c>
      <c r="M2" s="6" t="s">
        <v>129</v>
      </c>
      <c r="N2" s="6" t="s">
        <v>132</v>
      </c>
      <c r="O2" s="6">
        <v>2</v>
      </c>
      <c r="P2" s="6" t="s">
        <v>129</v>
      </c>
      <c r="Q2" s="6" t="s">
        <v>133</v>
      </c>
      <c r="R2" s="6">
        <v>3</v>
      </c>
      <c r="S2" s="6" t="s">
        <v>129</v>
      </c>
      <c r="T2" s="6" t="s">
        <v>134</v>
      </c>
      <c r="U2" s="6">
        <v>3</v>
      </c>
      <c r="V2" s="6" t="s">
        <v>127</v>
      </c>
      <c r="W2" s="6" t="s">
        <v>135</v>
      </c>
      <c r="X2" s="6" t="s">
        <v>32</v>
      </c>
      <c r="Y2" s="6" t="s">
        <v>136</v>
      </c>
      <c r="Z2" s="6" t="s">
        <v>32</v>
      </c>
      <c r="AA2" s="6" t="s">
        <v>137</v>
      </c>
      <c r="AB2" s="6" t="s">
        <v>32</v>
      </c>
      <c r="AC2" s="6" t="s">
        <v>137</v>
      </c>
      <c r="AD2" s="6" t="s">
        <v>32</v>
      </c>
      <c r="AE2" s="6" t="s">
        <v>137</v>
      </c>
    </row>
    <row r="3" spans="1:31" x14ac:dyDescent="0.25">
      <c r="A3" s="6">
        <v>2</v>
      </c>
      <c r="B3" s="6" t="s">
        <v>35</v>
      </c>
      <c r="C3" s="6">
        <v>1</v>
      </c>
      <c r="D3" s="6" t="s">
        <v>127</v>
      </c>
      <c r="E3" s="6" t="s">
        <v>128</v>
      </c>
      <c r="F3" s="6">
        <v>1</v>
      </c>
      <c r="G3" s="6" t="s">
        <v>129</v>
      </c>
      <c r="H3" s="6" t="s">
        <v>138</v>
      </c>
      <c r="I3" s="6">
        <v>2</v>
      </c>
      <c r="J3" s="6" t="s">
        <v>129</v>
      </c>
      <c r="K3" s="6" t="s">
        <v>139</v>
      </c>
      <c r="L3" s="6">
        <v>3</v>
      </c>
      <c r="M3" s="6" t="s">
        <v>129</v>
      </c>
      <c r="N3" s="6" t="s">
        <v>140</v>
      </c>
      <c r="O3" s="6">
        <v>3</v>
      </c>
      <c r="P3" s="6" t="s">
        <v>129</v>
      </c>
      <c r="Q3" s="6" t="s">
        <v>141</v>
      </c>
      <c r="R3" s="6">
        <v>3</v>
      </c>
      <c r="S3" s="6" t="s">
        <v>129</v>
      </c>
      <c r="T3" s="6" t="s">
        <v>142</v>
      </c>
      <c r="U3" s="6">
        <v>3</v>
      </c>
      <c r="V3" s="6" t="s">
        <v>127</v>
      </c>
      <c r="W3" s="6" t="s">
        <v>135</v>
      </c>
      <c r="X3" s="6" t="s">
        <v>32</v>
      </c>
      <c r="Y3" s="6" t="s">
        <v>143</v>
      </c>
      <c r="Z3" s="6" t="s">
        <v>32</v>
      </c>
      <c r="AA3" s="6" t="s">
        <v>143</v>
      </c>
      <c r="AB3" s="6" t="s">
        <v>32</v>
      </c>
      <c r="AC3" s="6" t="s">
        <v>143</v>
      </c>
      <c r="AD3" s="6" t="s">
        <v>32</v>
      </c>
      <c r="AE3" s="6" t="s">
        <v>143</v>
      </c>
    </row>
    <row r="4" spans="1:31" x14ac:dyDescent="0.25">
      <c r="A4" s="6">
        <v>3</v>
      </c>
      <c r="B4" s="6" t="s">
        <v>37</v>
      </c>
      <c r="C4" s="6">
        <v>1</v>
      </c>
      <c r="D4" s="6" t="s">
        <v>127</v>
      </c>
      <c r="E4" s="6" t="s">
        <v>128</v>
      </c>
      <c r="F4" s="6">
        <v>1</v>
      </c>
      <c r="G4" s="6" t="s">
        <v>129</v>
      </c>
      <c r="H4" s="6" t="s">
        <v>144</v>
      </c>
      <c r="I4" s="6">
        <v>2</v>
      </c>
      <c r="J4" s="6" t="s">
        <v>129</v>
      </c>
      <c r="K4" s="6" t="s">
        <v>145</v>
      </c>
      <c r="L4" s="6">
        <v>3</v>
      </c>
      <c r="M4" s="6" t="s">
        <v>129</v>
      </c>
      <c r="N4" s="6" t="s">
        <v>146</v>
      </c>
      <c r="O4" s="6">
        <v>3</v>
      </c>
      <c r="P4" s="6" t="s">
        <v>129</v>
      </c>
      <c r="Q4" s="6" t="s">
        <v>147</v>
      </c>
      <c r="R4" s="6">
        <v>3</v>
      </c>
      <c r="S4" s="6" t="s">
        <v>129</v>
      </c>
      <c r="T4" s="6" t="s">
        <v>148</v>
      </c>
      <c r="U4" s="6">
        <v>3</v>
      </c>
      <c r="V4" s="6" t="s">
        <v>127</v>
      </c>
      <c r="W4" s="6" t="s">
        <v>135</v>
      </c>
      <c r="X4" s="6" t="s">
        <v>32</v>
      </c>
      <c r="Y4" s="6" t="s">
        <v>149</v>
      </c>
      <c r="Z4" s="6" t="s">
        <v>32</v>
      </c>
      <c r="AA4" s="6" t="s">
        <v>150</v>
      </c>
      <c r="AB4" s="6" t="s">
        <v>32</v>
      </c>
      <c r="AC4" s="6" t="s">
        <v>151</v>
      </c>
      <c r="AD4" s="6" t="s">
        <v>32</v>
      </c>
      <c r="AE4" s="6" t="s">
        <v>152</v>
      </c>
    </row>
    <row r="5" spans="1:31" x14ac:dyDescent="0.25">
      <c r="A5" s="6">
        <v>4</v>
      </c>
      <c r="B5" s="6" t="s">
        <v>39</v>
      </c>
      <c r="C5" s="6">
        <v>1</v>
      </c>
      <c r="D5" s="6" t="s">
        <v>127</v>
      </c>
      <c r="E5" s="6" t="s">
        <v>128</v>
      </c>
      <c r="F5" s="6">
        <v>2</v>
      </c>
      <c r="G5" s="6" t="s">
        <v>129</v>
      </c>
      <c r="H5" s="6" t="s">
        <v>153</v>
      </c>
      <c r="I5" s="6">
        <v>2</v>
      </c>
      <c r="J5" s="6" t="s">
        <v>129</v>
      </c>
      <c r="K5" s="6" t="s">
        <v>154</v>
      </c>
      <c r="L5" s="6">
        <v>3</v>
      </c>
      <c r="M5" s="6" t="s">
        <v>129</v>
      </c>
      <c r="N5" s="6" t="s">
        <v>155</v>
      </c>
      <c r="O5" s="6">
        <v>2</v>
      </c>
      <c r="P5" s="6" t="s">
        <v>129</v>
      </c>
      <c r="Q5" s="6" t="s">
        <v>156</v>
      </c>
      <c r="R5" s="6">
        <v>3</v>
      </c>
      <c r="S5" s="6" t="s">
        <v>129</v>
      </c>
      <c r="T5" s="6" t="s">
        <v>157</v>
      </c>
      <c r="U5" s="6">
        <v>3</v>
      </c>
      <c r="V5" s="6" t="s">
        <v>127</v>
      </c>
      <c r="W5" s="6" t="s">
        <v>135</v>
      </c>
      <c r="X5" s="6" t="s">
        <v>32</v>
      </c>
      <c r="Y5" s="6" t="s">
        <v>158</v>
      </c>
      <c r="Z5" s="6" t="s">
        <v>32</v>
      </c>
      <c r="AA5" s="6" t="s">
        <v>158</v>
      </c>
      <c r="AB5" s="6" t="s">
        <v>32</v>
      </c>
      <c r="AC5" s="6" t="s">
        <v>159</v>
      </c>
      <c r="AD5" s="6" t="s">
        <v>32</v>
      </c>
      <c r="AE5" s="6" t="s">
        <v>160</v>
      </c>
    </row>
    <row r="6" spans="1:31" x14ac:dyDescent="0.25">
      <c r="A6" s="6">
        <v>5</v>
      </c>
      <c r="B6" s="6" t="s">
        <v>41</v>
      </c>
      <c r="C6" s="6">
        <v>1</v>
      </c>
      <c r="D6" s="6" t="s">
        <v>127</v>
      </c>
      <c r="E6" s="6" t="s">
        <v>128</v>
      </c>
      <c r="F6" s="6">
        <v>1</v>
      </c>
      <c r="G6" s="6" t="s">
        <v>129</v>
      </c>
      <c r="H6" s="6" t="s">
        <v>161</v>
      </c>
      <c r="I6" s="6">
        <v>2</v>
      </c>
      <c r="J6" s="6" t="s">
        <v>129</v>
      </c>
      <c r="K6" s="6" t="s">
        <v>162</v>
      </c>
      <c r="L6" s="6">
        <v>2</v>
      </c>
      <c r="M6" s="6" t="s">
        <v>129</v>
      </c>
      <c r="N6" s="6" t="s">
        <v>163</v>
      </c>
      <c r="O6" s="6">
        <v>3</v>
      </c>
      <c r="P6" s="6" t="s">
        <v>129</v>
      </c>
      <c r="Q6" s="6" t="s">
        <v>164</v>
      </c>
      <c r="R6" s="6">
        <v>3</v>
      </c>
      <c r="S6" s="6" t="s">
        <v>129</v>
      </c>
      <c r="T6" s="6" t="s">
        <v>165</v>
      </c>
      <c r="U6" s="6">
        <v>3</v>
      </c>
      <c r="V6" s="6" t="s">
        <v>127</v>
      </c>
      <c r="W6" s="6" t="s">
        <v>135</v>
      </c>
      <c r="X6" s="6" t="s">
        <v>32</v>
      </c>
      <c r="Y6" s="6" t="s">
        <v>143</v>
      </c>
      <c r="Z6" s="6" t="s">
        <v>32</v>
      </c>
      <c r="AA6" s="6" t="s">
        <v>143</v>
      </c>
      <c r="AB6" s="6" t="s">
        <v>32</v>
      </c>
      <c r="AC6" s="6" t="s">
        <v>143</v>
      </c>
      <c r="AD6" s="6" t="s">
        <v>32</v>
      </c>
      <c r="AE6" s="6" t="s">
        <v>166</v>
      </c>
    </row>
    <row r="7" spans="1:31" x14ac:dyDescent="0.25">
      <c r="A7" s="6">
        <v>6</v>
      </c>
      <c r="B7" s="6" t="s">
        <v>42</v>
      </c>
      <c r="C7" s="6">
        <v>1</v>
      </c>
      <c r="D7" s="6" t="s">
        <v>127</v>
      </c>
      <c r="E7" s="6" t="s">
        <v>128</v>
      </c>
      <c r="F7" s="6">
        <v>2</v>
      </c>
      <c r="G7" s="6" t="s">
        <v>129</v>
      </c>
      <c r="H7" s="6" t="s">
        <v>167</v>
      </c>
      <c r="I7" s="6">
        <v>2</v>
      </c>
      <c r="J7" s="6" t="s">
        <v>129</v>
      </c>
      <c r="K7" s="6" t="s">
        <v>168</v>
      </c>
      <c r="L7" s="6">
        <v>2</v>
      </c>
      <c r="M7" s="6" t="s">
        <v>129</v>
      </c>
      <c r="N7" s="6" t="s">
        <v>169</v>
      </c>
      <c r="O7" s="6">
        <v>2</v>
      </c>
      <c r="P7" s="6" t="s">
        <v>129</v>
      </c>
      <c r="Q7" s="6" t="s">
        <v>170</v>
      </c>
      <c r="R7" s="6">
        <v>3</v>
      </c>
      <c r="S7" s="6" t="s">
        <v>129</v>
      </c>
      <c r="T7" s="6" t="s">
        <v>171</v>
      </c>
      <c r="U7" s="6">
        <v>3</v>
      </c>
      <c r="V7" s="6" t="s">
        <v>127</v>
      </c>
      <c r="W7" s="6" t="s">
        <v>135</v>
      </c>
      <c r="X7" s="6" t="s">
        <v>32</v>
      </c>
      <c r="Y7" s="6" t="s">
        <v>172</v>
      </c>
      <c r="Z7" s="6" t="s">
        <v>32</v>
      </c>
      <c r="AA7" s="6" t="s">
        <v>172</v>
      </c>
      <c r="AB7" s="6" t="s">
        <v>32</v>
      </c>
      <c r="AC7" s="6" t="s">
        <v>172</v>
      </c>
      <c r="AD7" s="6" t="s">
        <v>32</v>
      </c>
      <c r="AE7" s="6" t="s">
        <v>172</v>
      </c>
    </row>
    <row r="8" spans="1:31" x14ac:dyDescent="0.25">
      <c r="A8" s="6">
        <v>7</v>
      </c>
      <c r="B8" s="6" t="s">
        <v>44</v>
      </c>
      <c r="C8" s="6">
        <v>1</v>
      </c>
      <c r="D8" s="6" t="s">
        <v>127</v>
      </c>
      <c r="E8" s="6" t="s">
        <v>128</v>
      </c>
      <c r="F8" s="6">
        <v>1</v>
      </c>
      <c r="G8" s="6" t="s">
        <v>129</v>
      </c>
      <c r="H8" s="6" t="s">
        <v>173</v>
      </c>
      <c r="I8" s="6">
        <v>2</v>
      </c>
      <c r="J8" s="6" t="s">
        <v>129</v>
      </c>
      <c r="K8" s="6" t="s">
        <v>174</v>
      </c>
      <c r="L8" s="6">
        <v>2</v>
      </c>
      <c r="M8" s="6" t="s">
        <v>129</v>
      </c>
      <c r="N8" s="6" t="s">
        <v>175</v>
      </c>
      <c r="O8" s="6">
        <v>3</v>
      </c>
      <c r="P8" s="6" t="s">
        <v>129</v>
      </c>
      <c r="Q8" s="6" t="s">
        <v>176</v>
      </c>
      <c r="R8" s="6">
        <v>3</v>
      </c>
      <c r="S8" s="6" t="s">
        <v>129</v>
      </c>
      <c r="T8" s="6" t="s">
        <v>177</v>
      </c>
      <c r="U8" s="6">
        <v>3</v>
      </c>
      <c r="V8" s="6" t="s">
        <v>127</v>
      </c>
      <c r="W8" s="6" t="s">
        <v>135</v>
      </c>
      <c r="X8" s="6" t="s">
        <v>32</v>
      </c>
      <c r="Y8" s="6" t="s">
        <v>178</v>
      </c>
      <c r="Z8" s="6" t="s">
        <v>32</v>
      </c>
      <c r="AA8" s="6" t="s">
        <v>178</v>
      </c>
      <c r="AB8" s="6" t="s">
        <v>32</v>
      </c>
      <c r="AC8" s="6" t="s">
        <v>178</v>
      </c>
      <c r="AD8" s="6" t="s">
        <v>32</v>
      </c>
      <c r="AE8" s="6" t="s">
        <v>178</v>
      </c>
    </row>
    <row r="9" spans="1:31" x14ac:dyDescent="0.25">
      <c r="A9" s="6">
        <v>8</v>
      </c>
      <c r="B9" s="6" t="s">
        <v>46</v>
      </c>
      <c r="C9" s="6">
        <v>1</v>
      </c>
      <c r="D9" s="6" t="s">
        <v>127</v>
      </c>
      <c r="E9" s="6" t="s">
        <v>128</v>
      </c>
      <c r="F9" s="6">
        <v>1</v>
      </c>
      <c r="G9" s="6" t="s">
        <v>129</v>
      </c>
      <c r="H9" s="6" t="s">
        <v>179</v>
      </c>
      <c r="I9" s="6">
        <v>1</v>
      </c>
      <c r="J9" s="6" t="s">
        <v>129</v>
      </c>
      <c r="K9" s="6" t="s">
        <v>180</v>
      </c>
      <c r="L9" s="6">
        <v>2</v>
      </c>
      <c r="M9" s="6" t="s">
        <v>129</v>
      </c>
      <c r="N9" s="6" t="s">
        <v>181</v>
      </c>
      <c r="O9" s="6">
        <v>3</v>
      </c>
      <c r="P9" s="6" t="s">
        <v>129</v>
      </c>
      <c r="Q9" s="6" t="s">
        <v>182</v>
      </c>
      <c r="R9" s="6">
        <v>3</v>
      </c>
      <c r="S9" s="6" t="s">
        <v>129</v>
      </c>
      <c r="T9" s="6" t="s">
        <v>183</v>
      </c>
      <c r="U9" s="6">
        <v>3</v>
      </c>
      <c r="V9" s="6" t="s">
        <v>127</v>
      </c>
      <c r="W9" s="6" t="s">
        <v>135</v>
      </c>
      <c r="X9" s="6" t="s">
        <v>32</v>
      </c>
      <c r="Y9" s="6" t="s">
        <v>184</v>
      </c>
      <c r="Z9" s="6" t="s">
        <v>32</v>
      </c>
      <c r="AA9" s="6" t="s">
        <v>184</v>
      </c>
      <c r="AB9" s="6" t="s">
        <v>32</v>
      </c>
      <c r="AC9" s="6" t="s">
        <v>185</v>
      </c>
      <c r="AD9" s="6" t="s">
        <v>32</v>
      </c>
      <c r="AE9" s="6" t="s">
        <v>186</v>
      </c>
    </row>
    <row r="10" spans="1:31" x14ac:dyDescent="0.25">
      <c r="A10" s="6">
        <v>9</v>
      </c>
      <c r="B10" s="6" t="s">
        <v>48</v>
      </c>
      <c r="C10" s="6">
        <v>1</v>
      </c>
      <c r="D10" s="6" t="s">
        <v>127</v>
      </c>
      <c r="E10" s="6" t="s">
        <v>128</v>
      </c>
      <c r="F10" s="6">
        <v>1</v>
      </c>
      <c r="G10" s="6" t="s">
        <v>129</v>
      </c>
      <c r="H10" s="6" t="s">
        <v>187</v>
      </c>
      <c r="I10" s="6">
        <v>2</v>
      </c>
      <c r="J10" s="6" t="s">
        <v>129</v>
      </c>
      <c r="K10" s="6" t="s">
        <v>188</v>
      </c>
      <c r="L10" s="6">
        <v>2</v>
      </c>
      <c r="M10" s="6" t="s">
        <v>129</v>
      </c>
      <c r="N10" s="6" t="s">
        <v>189</v>
      </c>
      <c r="O10" s="6">
        <v>2</v>
      </c>
      <c r="P10" s="6" t="s">
        <v>129</v>
      </c>
      <c r="Q10" s="6" t="s">
        <v>190</v>
      </c>
      <c r="R10" s="6">
        <v>3</v>
      </c>
      <c r="S10" s="6" t="s">
        <v>129</v>
      </c>
      <c r="T10" s="6" t="s">
        <v>191</v>
      </c>
      <c r="U10" s="6">
        <v>3</v>
      </c>
      <c r="V10" s="6" t="s">
        <v>127</v>
      </c>
      <c r="W10" s="6" t="s">
        <v>135</v>
      </c>
      <c r="X10" s="6" t="s">
        <v>32</v>
      </c>
      <c r="Y10" s="6" t="s">
        <v>192</v>
      </c>
      <c r="Z10" s="6" t="s">
        <v>32</v>
      </c>
      <c r="AA10" s="6" t="s">
        <v>193</v>
      </c>
      <c r="AB10" s="6" t="s">
        <v>32</v>
      </c>
      <c r="AC10" s="6" t="s">
        <v>194</v>
      </c>
      <c r="AD10" s="6" t="s">
        <v>32</v>
      </c>
      <c r="AE10" s="6" t="s">
        <v>195</v>
      </c>
    </row>
    <row r="11" spans="1:31" x14ac:dyDescent="0.25">
      <c r="A11" s="6">
        <v>10</v>
      </c>
      <c r="B11" s="6" t="s">
        <v>50</v>
      </c>
      <c r="C11" s="6">
        <v>1</v>
      </c>
      <c r="D11" s="6" t="s">
        <v>127</v>
      </c>
      <c r="E11" s="6" t="s">
        <v>128</v>
      </c>
      <c r="F11" s="6">
        <v>1</v>
      </c>
      <c r="G11" s="6" t="s">
        <v>129</v>
      </c>
      <c r="H11" s="6" t="s">
        <v>196</v>
      </c>
      <c r="I11" s="6">
        <v>2</v>
      </c>
      <c r="J11" s="6" t="s">
        <v>129</v>
      </c>
      <c r="K11" s="6" t="s">
        <v>197</v>
      </c>
      <c r="L11" s="6">
        <v>2</v>
      </c>
      <c r="M11" s="6" t="s">
        <v>129</v>
      </c>
      <c r="N11" s="6" t="s">
        <v>198</v>
      </c>
      <c r="O11" s="6">
        <v>2</v>
      </c>
      <c r="P11" s="6" t="s">
        <v>129</v>
      </c>
      <c r="Q11" s="6" t="s">
        <v>199</v>
      </c>
      <c r="R11" s="6">
        <v>3</v>
      </c>
      <c r="S11" s="6" t="s">
        <v>129</v>
      </c>
      <c r="T11" s="6" t="s">
        <v>200</v>
      </c>
      <c r="U11" s="6">
        <v>3</v>
      </c>
      <c r="V11" s="6" t="s">
        <v>127</v>
      </c>
      <c r="W11" s="6" t="s">
        <v>135</v>
      </c>
      <c r="X11" s="6" t="s">
        <v>32</v>
      </c>
      <c r="Y11" s="6" t="s">
        <v>201</v>
      </c>
      <c r="Z11" s="6" t="s">
        <v>32</v>
      </c>
      <c r="AA11" s="6" t="s">
        <v>202</v>
      </c>
      <c r="AB11" s="6" t="s">
        <v>32</v>
      </c>
      <c r="AC11" s="6" t="s">
        <v>193</v>
      </c>
      <c r="AD11" s="6" t="s">
        <v>32</v>
      </c>
      <c r="AE11" s="6" t="s">
        <v>203</v>
      </c>
    </row>
    <row r="12" spans="1:31" x14ac:dyDescent="0.25">
      <c r="A12" s="6">
        <v>11</v>
      </c>
      <c r="B12" s="6" t="s">
        <v>52</v>
      </c>
      <c r="C12" s="6">
        <v>1</v>
      </c>
      <c r="D12" s="6" t="s">
        <v>127</v>
      </c>
      <c r="E12" s="6" t="s">
        <v>128</v>
      </c>
      <c r="F12" s="6">
        <v>2</v>
      </c>
      <c r="G12" s="6" t="s">
        <v>129</v>
      </c>
      <c r="H12" s="6" t="s">
        <v>204</v>
      </c>
      <c r="I12" s="6">
        <v>2</v>
      </c>
      <c r="J12" s="6" t="s">
        <v>129</v>
      </c>
      <c r="K12" s="6" t="s">
        <v>205</v>
      </c>
      <c r="L12" s="6">
        <v>3</v>
      </c>
      <c r="M12" s="6" t="s">
        <v>129</v>
      </c>
      <c r="N12" s="6" t="s">
        <v>206</v>
      </c>
      <c r="O12" s="6">
        <v>1</v>
      </c>
      <c r="P12" s="6" t="s">
        <v>129</v>
      </c>
      <c r="Q12" s="6" t="s">
        <v>207</v>
      </c>
      <c r="R12" s="6">
        <v>2</v>
      </c>
      <c r="S12" s="6" t="s">
        <v>129</v>
      </c>
      <c r="T12" s="6" t="s">
        <v>208</v>
      </c>
      <c r="U12" s="6">
        <v>3</v>
      </c>
      <c r="V12" s="6" t="s">
        <v>127</v>
      </c>
      <c r="W12" s="6" t="s">
        <v>135</v>
      </c>
      <c r="X12" s="6" t="s">
        <v>32</v>
      </c>
      <c r="Y12" s="6" t="s">
        <v>209</v>
      </c>
      <c r="Z12" s="6" t="s">
        <v>32</v>
      </c>
      <c r="AA12" s="6" t="s">
        <v>209</v>
      </c>
      <c r="AB12" s="6" t="s">
        <v>32</v>
      </c>
      <c r="AC12" s="6" t="s">
        <v>209</v>
      </c>
      <c r="AD12" s="6" t="s">
        <v>32</v>
      </c>
      <c r="AE12" s="6" t="s">
        <v>209</v>
      </c>
    </row>
    <row r="13" spans="1:31" x14ac:dyDescent="0.25">
      <c r="A13" s="6">
        <v>12</v>
      </c>
      <c r="B13" s="6" t="s">
        <v>54</v>
      </c>
      <c r="C13" s="6">
        <v>1</v>
      </c>
      <c r="D13" s="6" t="s">
        <v>127</v>
      </c>
      <c r="E13" s="6" t="s">
        <v>128</v>
      </c>
      <c r="F13" s="6">
        <v>1</v>
      </c>
      <c r="G13" s="6" t="s">
        <v>129</v>
      </c>
      <c r="H13" s="6" t="s">
        <v>210</v>
      </c>
      <c r="I13" s="6">
        <v>2</v>
      </c>
      <c r="J13" s="6" t="s">
        <v>129</v>
      </c>
      <c r="K13" s="6" t="s">
        <v>211</v>
      </c>
      <c r="L13" s="6">
        <v>2</v>
      </c>
      <c r="M13" s="6" t="s">
        <v>129</v>
      </c>
      <c r="N13" s="6" t="s">
        <v>212</v>
      </c>
      <c r="O13" s="6">
        <v>2</v>
      </c>
      <c r="P13" s="6" t="s">
        <v>129</v>
      </c>
      <c r="Q13" s="6" t="s">
        <v>213</v>
      </c>
      <c r="R13" s="6">
        <v>3</v>
      </c>
      <c r="S13" s="6" t="s">
        <v>129</v>
      </c>
      <c r="T13" s="6" t="s">
        <v>214</v>
      </c>
      <c r="U13" s="6">
        <v>3</v>
      </c>
      <c r="V13" s="6" t="s">
        <v>127</v>
      </c>
      <c r="W13" s="6" t="s">
        <v>135</v>
      </c>
      <c r="X13" s="6" t="s">
        <v>32</v>
      </c>
      <c r="Y13" s="6" t="s">
        <v>215</v>
      </c>
      <c r="Z13" s="6" t="s">
        <v>32</v>
      </c>
      <c r="AA13" s="6" t="s">
        <v>215</v>
      </c>
      <c r="AB13" s="6" t="s">
        <v>32</v>
      </c>
      <c r="AC13" s="6" t="s">
        <v>215</v>
      </c>
      <c r="AD13" s="6" t="s">
        <v>32</v>
      </c>
      <c r="AE13" s="6" t="s">
        <v>215</v>
      </c>
    </row>
    <row r="14" spans="1:31" x14ac:dyDescent="0.25">
      <c r="A14" s="6">
        <v>13</v>
      </c>
      <c r="B14" s="6" t="s">
        <v>56</v>
      </c>
      <c r="C14" s="6">
        <v>1</v>
      </c>
      <c r="D14" s="6" t="s">
        <v>127</v>
      </c>
      <c r="E14" s="6" t="s">
        <v>128</v>
      </c>
      <c r="F14" s="6">
        <v>1</v>
      </c>
      <c r="G14" s="6" t="s">
        <v>129</v>
      </c>
      <c r="H14" s="6" t="s">
        <v>216</v>
      </c>
      <c r="I14" s="6">
        <v>1</v>
      </c>
      <c r="J14" s="6" t="s">
        <v>129</v>
      </c>
      <c r="K14" s="6" t="s">
        <v>217</v>
      </c>
      <c r="L14" s="6">
        <v>2</v>
      </c>
      <c r="M14" s="6" t="s">
        <v>129</v>
      </c>
      <c r="N14" s="6" t="s">
        <v>218</v>
      </c>
      <c r="O14" s="6">
        <v>2</v>
      </c>
      <c r="P14" s="6" t="s">
        <v>129</v>
      </c>
      <c r="Q14" s="6" t="s">
        <v>219</v>
      </c>
      <c r="R14" s="6">
        <v>3</v>
      </c>
      <c r="S14" s="6" t="s">
        <v>129</v>
      </c>
      <c r="T14" s="6" t="s">
        <v>220</v>
      </c>
      <c r="U14" s="6">
        <v>3</v>
      </c>
      <c r="V14" s="6" t="s">
        <v>127</v>
      </c>
      <c r="W14" s="6" t="s">
        <v>135</v>
      </c>
      <c r="X14" s="6" t="s">
        <v>32</v>
      </c>
      <c r="Y14" s="6" t="s">
        <v>221</v>
      </c>
      <c r="Z14" s="6" t="s">
        <v>32</v>
      </c>
      <c r="AA14" s="6" t="s">
        <v>222</v>
      </c>
      <c r="AB14" s="6" t="s">
        <v>32</v>
      </c>
      <c r="AC14" s="6" t="s">
        <v>222</v>
      </c>
      <c r="AD14" s="6" t="s">
        <v>32</v>
      </c>
      <c r="AE14" s="6" t="s">
        <v>223</v>
      </c>
    </row>
    <row r="15" spans="1:31" x14ac:dyDescent="0.25">
      <c r="A15" s="6">
        <v>14</v>
      </c>
      <c r="B15" s="6" t="s">
        <v>58</v>
      </c>
      <c r="C15" s="6">
        <v>1</v>
      </c>
      <c r="D15" s="6" t="s">
        <v>127</v>
      </c>
      <c r="E15" s="6" t="s">
        <v>128</v>
      </c>
      <c r="F15" s="6">
        <v>2</v>
      </c>
      <c r="G15" s="6" t="s">
        <v>129</v>
      </c>
      <c r="H15" s="6" t="s">
        <v>224</v>
      </c>
      <c r="I15" s="6">
        <v>1</v>
      </c>
      <c r="J15" s="6" t="s">
        <v>129</v>
      </c>
      <c r="K15" s="6" t="s">
        <v>225</v>
      </c>
      <c r="L15" s="6">
        <v>1</v>
      </c>
      <c r="M15" s="6" t="s">
        <v>129</v>
      </c>
      <c r="N15" s="6" t="s">
        <v>226</v>
      </c>
      <c r="O15" s="6">
        <v>2</v>
      </c>
      <c r="P15" s="6" t="s">
        <v>129</v>
      </c>
      <c r="Q15" s="6" t="s">
        <v>227</v>
      </c>
      <c r="R15" s="6">
        <v>2</v>
      </c>
      <c r="S15" s="6" t="s">
        <v>129</v>
      </c>
      <c r="T15" s="6" t="s">
        <v>228</v>
      </c>
      <c r="U15" s="6">
        <v>3</v>
      </c>
      <c r="V15" s="6" t="s">
        <v>127</v>
      </c>
      <c r="W15" s="6" t="s">
        <v>135</v>
      </c>
      <c r="X15" s="6" t="s">
        <v>32</v>
      </c>
      <c r="Y15" s="6" t="s">
        <v>229</v>
      </c>
      <c r="Z15" s="6" t="s">
        <v>32</v>
      </c>
      <c r="AA15" s="6" t="s">
        <v>230</v>
      </c>
      <c r="AB15" s="6" t="s">
        <v>32</v>
      </c>
      <c r="AC15" s="6" t="s">
        <v>231</v>
      </c>
      <c r="AD15" s="6" t="s">
        <v>32</v>
      </c>
      <c r="AE15" s="6" t="s">
        <v>232</v>
      </c>
    </row>
    <row r="16" spans="1:31" x14ac:dyDescent="0.25">
      <c r="A16" s="6">
        <v>15</v>
      </c>
      <c r="B16" s="6" t="s">
        <v>60</v>
      </c>
      <c r="C16" s="6">
        <v>1</v>
      </c>
      <c r="D16" s="6" t="s">
        <v>127</v>
      </c>
      <c r="E16" s="6" t="s">
        <v>128</v>
      </c>
      <c r="F16" s="6">
        <v>1</v>
      </c>
      <c r="G16" s="6" t="s">
        <v>129</v>
      </c>
      <c r="H16" s="6" t="s">
        <v>233</v>
      </c>
      <c r="I16" s="6">
        <v>1</v>
      </c>
      <c r="J16" s="6" t="s">
        <v>129</v>
      </c>
      <c r="K16" s="6" t="s">
        <v>234</v>
      </c>
      <c r="L16" s="6">
        <v>2</v>
      </c>
      <c r="M16" s="6" t="s">
        <v>129</v>
      </c>
      <c r="N16" s="6" t="s">
        <v>235</v>
      </c>
      <c r="O16" s="6">
        <v>2</v>
      </c>
      <c r="P16" s="6" t="s">
        <v>129</v>
      </c>
      <c r="Q16" s="6" t="s">
        <v>236</v>
      </c>
      <c r="R16" s="6">
        <v>2</v>
      </c>
      <c r="S16" s="6" t="s">
        <v>129</v>
      </c>
      <c r="T16" s="6" t="s">
        <v>237</v>
      </c>
      <c r="U16" s="6">
        <v>3</v>
      </c>
      <c r="V16" s="6" t="s">
        <v>127</v>
      </c>
      <c r="W16" s="6" t="s">
        <v>135</v>
      </c>
      <c r="X16" s="6" t="s">
        <v>32</v>
      </c>
      <c r="Y16" s="6" t="s">
        <v>238</v>
      </c>
      <c r="Z16" s="6" t="s">
        <v>32</v>
      </c>
      <c r="AA16" s="6" t="s">
        <v>238</v>
      </c>
      <c r="AB16" s="6" t="s">
        <v>32</v>
      </c>
      <c r="AC16" s="6" t="s">
        <v>238</v>
      </c>
      <c r="AD16" s="6" t="s">
        <v>32</v>
      </c>
      <c r="AE16" s="6" t="s">
        <v>238</v>
      </c>
    </row>
    <row r="17" spans="1:31" x14ac:dyDescent="0.25">
      <c r="A17" s="6">
        <v>16</v>
      </c>
      <c r="B17" s="6" t="s">
        <v>63</v>
      </c>
      <c r="C17" s="6">
        <v>3</v>
      </c>
      <c r="D17" s="6" t="s">
        <v>127</v>
      </c>
      <c r="E17" s="6" t="s">
        <v>239</v>
      </c>
      <c r="F17" s="6">
        <v>3</v>
      </c>
      <c r="G17" s="6" t="s">
        <v>240</v>
      </c>
      <c r="H17" s="6" t="s">
        <v>241</v>
      </c>
      <c r="I17" s="6">
        <v>3</v>
      </c>
      <c r="J17" s="6" t="s">
        <v>240</v>
      </c>
      <c r="K17" s="6" t="s">
        <v>242</v>
      </c>
      <c r="L17" s="6">
        <v>3</v>
      </c>
      <c r="M17" s="6" t="s">
        <v>240</v>
      </c>
      <c r="N17" s="6" t="s">
        <v>243</v>
      </c>
      <c r="O17" s="6">
        <v>3</v>
      </c>
      <c r="P17" s="6" t="s">
        <v>240</v>
      </c>
      <c r="Q17" s="6" t="s">
        <v>244</v>
      </c>
      <c r="R17" s="6">
        <v>2</v>
      </c>
      <c r="S17" s="6" t="s">
        <v>240</v>
      </c>
      <c r="T17" s="6" t="s">
        <v>245</v>
      </c>
      <c r="U17" s="6">
        <v>2</v>
      </c>
      <c r="V17" s="6" t="s">
        <v>127</v>
      </c>
      <c r="W17" s="6" t="s">
        <v>246</v>
      </c>
      <c r="X17" s="6" t="s">
        <v>32</v>
      </c>
      <c r="Y17" s="6" t="s">
        <v>247</v>
      </c>
      <c r="Z17" s="6" t="s">
        <v>32</v>
      </c>
      <c r="AA17" s="6" t="s">
        <v>248</v>
      </c>
      <c r="AB17" s="6" t="s">
        <v>32</v>
      </c>
      <c r="AC17" s="6" t="s">
        <v>249</v>
      </c>
      <c r="AD17" s="6" t="s">
        <v>32</v>
      </c>
      <c r="AE17" s="6" t="s">
        <v>250</v>
      </c>
    </row>
    <row r="18" spans="1:31" x14ac:dyDescent="0.25">
      <c r="A18" s="6">
        <v>17</v>
      </c>
      <c r="B18" s="6" t="s">
        <v>65</v>
      </c>
      <c r="C18" s="6">
        <v>2</v>
      </c>
      <c r="D18" s="6" t="s">
        <v>127</v>
      </c>
      <c r="E18" s="6" t="s">
        <v>251</v>
      </c>
      <c r="F18" s="6">
        <v>3</v>
      </c>
      <c r="G18" s="6" t="s">
        <v>240</v>
      </c>
      <c r="H18" s="6" t="s">
        <v>252</v>
      </c>
      <c r="I18" s="6">
        <v>2</v>
      </c>
      <c r="J18" s="6" t="s">
        <v>240</v>
      </c>
      <c r="K18" s="6" t="s">
        <v>253</v>
      </c>
      <c r="L18" s="6">
        <v>3</v>
      </c>
      <c r="M18" s="6" t="s">
        <v>240</v>
      </c>
      <c r="N18" s="6" t="s">
        <v>254</v>
      </c>
      <c r="O18" s="6">
        <v>2</v>
      </c>
      <c r="P18" s="6" t="s">
        <v>240</v>
      </c>
      <c r="Q18" s="6" t="s">
        <v>255</v>
      </c>
      <c r="R18" s="6">
        <v>2</v>
      </c>
      <c r="S18" s="6" t="s">
        <v>240</v>
      </c>
      <c r="T18" s="6" t="s">
        <v>256</v>
      </c>
      <c r="U18" s="6">
        <v>2</v>
      </c>
      <c r="V18" s="6" t="s">
        <v>127</v>
      </c>
      <c r="W18" s="6" t="s">
        <v>246</v>
      </c>
      <c r="X18" s="6" t="s">
        <v>32</v>
      </c>
      <c r="Y18" s="6" t="s">
        <v>257</v>
      </c>
      <c r="Z18" s="6" t="s">
        <v>32</v>
      </c>
      <c r="AA18" s="6" t="s">
        <v>258</v>
      </c>
      <c r="AB18" s="6" t="s">
        <v>32</v>
      </c>
      <c r="AC18" s="6" t="s">
        <v>259</v>
      </c>
      <c r="AD18" s="6" t="s">
        <v>32</v>
      </c>
      <c r="AE18" s="6" t="s">
        <v>257</v>
      </c>
    </row>
    <row r="19" spans="1:31" x14ac:dyDescent="0.25">
      <c r="A19" s="6">
        <v>18</v>
      </c>
      <c r="B19" s="6" t="s">
        <v>67</v>
      </c>
      <c r="C19" s="6">
        <v>2</v>
      </c>
      <c r="D19" s="6" t="s">
        <v>127</v>
      </c>
      <c r="E19" s="6" t="s">
        <v>260</v>
      </c>
      <c r="F19" s="6">
        <v>2</v>
      </c>
      <c r="G19" s="6" t="s">
        <v>240</v>
      </c>
      <c r="H19" s="6" t="s">
        <v>261</v>
      </c>
      <c r="I19" s="6">
        <v>2</v>
      </c>
      <c r="J19" s="6" t="s">
        <v>240</v>
      </c>
      <c r="K19" s="6" t="s">
        <v>262</v>
      </c>
      <c r="L19" s="6">
        <v>3</v>
      </c>
      <c r="M19" s="6" t="s">
        <v>240</v>
      </c>
      <c r="N19" s="6" t="s">
        <v>263</v>
      </c>
      <c r="O19" s="6">
        <v>3</v>
      </c>
      <c r="P19" s="6" t="s">
        <v>240</v>
      </c>
      <c r="Q19" s="6" t="s">
        <v>264</v>
      </c>
      <c r="R19" s="6">
        <v>2</v>
      </c>
      <c r="S19" s="6" t="s">
        <v>240</v>
      </c>
      <c r="T19" s="6" t="s">
        <v>265</v>
      </c>
      <c r="U19" s="6">
        <v>2</v>
      </c>
      <c r="V19" s="6" t="s">
        <v>127</v>
      </c>
      <c r="W19" s="6" t="s">
        <v>246</v>
      </c>
      <c r="X19" s="6" t="s">
        <v>32</v>
      </c>
      <c r="Y19" s="6" t="s">
        <v>266</v>
      </c>
      <c r="Z19" s="6" t="s">
        <v>32</v>
      </c>
      <c r="AA19" s="6" t="s">
        <v>267</v>
      </c>
      <c r="AB19" s="6" t="s">
        <v>32</v>
      </c>
      <c r="AC19" s="6" t="s">
        <v>268</v>
      </c>
      <c r="AD19" s="6" t="s">
        <v>32</v>
      </c>
      <c r="AE19" s="6" t="s">
        <v>266</v>
      </c>
    </row>
    <row r="20" spans="1:31" x14ac:dyDescent="0.25">
      <c r="A20" s="6">
        <v>19</v>
      </c>
      <c r="B20" s="6" t="s">
        <v>69</v>
      </c>
      <c r="C20" s="6">
        <v>1</v>
      </c>
      <c r="D20" s="6" t="s">
        <v>127</v>
      </c>
      <c r="E20" s="6" t="s">
        <v>269</v>
      </c>
      <c r="F20" s="6">
        <v>2</v>
      </c>
      <c r="G20" s="6" t="s">
        <v>240</v>
      </c>
      <c r="H20" s="6" t="s">
        <v>270</v>
      </c>
      <c r="I20" s="6">
        <v>2</v>
      </c>
      <c r="J20" s="6" t="s">
        <v>240</v>
      </c>
      <c r="K20" s="6" t="s">
        <v>271</v>
      </c>
      <c r="L20" s="6">
        <v>3</v>
      </c>
      <c r="M20" s="6" t="s">
        <v>240</v>
      </c>
      <c r="N20" s="6" t="s">
        <v>272</v>
      </c>
      <c r="O20" s="6">
        <v>3</v>
      </c>
      <c r="P20" s="6" t="s">
        <v>240</v>
      </c>
      <c r="Q20" s="6" t="s">
        <v>273</v>
      </c>
      <c r="R20" s="6">
        <v>2</v>
      </c>
      <c r="S20" s="6" t="s">
        <v>240</v>
      </c>
      <c r="T20" s="6" t="s">
        <v>274</v>
      </c>
      <c r="U20" s="6">
        <v>2</v>
      </c>
      <c r="V20" s="6" t="s">
        <v>127</v>
      </c>
      <c r="W20" s="6" t="s">
        <v>246</v>
      </c>
      <c r="X20" s="6" t="s">
        <v>32</v>
      </c>
      <c r="Y20" s="6" t="s">
        <v>275</v>
      </c>
      <c r="Z20" s="6" t="s">
        <v>32</v>
      </c>
      <c r="AA20" s="6" t="s">
        <v>276</v>
      </c>
      <c r="AB20" s="6" t="s">
        <v>32</v>
      </c>
      <c r="AC20" s="6" t="s">
        <v>277</v>
      </c>
      <c r="AD20" s="6" t="s">
        <v>32</v>
      </c>
      <c r="AE20" s="6" t="s">
        <v>278</v>
      </c>
    </row>
    <row r="21" spans="1:31" x14ac:dyDescent="0.25">
      <c r="A21" s="6">
        <v>20</v>
      </c>
      <c r="B21" s="6" t="s">
        <v>71</v>
      </c>
      <c r="C21" s="6">
        <v>1</v>
      </c>
      <c r="D21" s="6" t="s">
        <v>127</v>
      </c>
      <c r="E21" s="6" t="s">
        <v>279</v>
      </c>
      <c r="F21" s="6">
        <v>2</v>
      </c>
      <c r="G21" s="6" t="s">
        <v>240</v>
      </c>
      <c r="H21" s="6" t="s">
        <v>280</v>
      </c>
      <c r="I21" s="6">
        <v>3</v>
      </c>
      <c r="J21" s="6" t="s">
        <v>240</v>
      </c>
      <c r="K21" s="6" t="s">
        <v>281</v>
      </c>
      <c r="L21" s="6">
        <v>3</v>
      </c>
      <c r="M21" s="6" t="s">
        <v>240</v>
      </c>
      <c r="N21" s="6" t="s">
        <v>282</v>
      </c>
      <c r="O21" s="6">
        <v>2</v>
      </c>
      <c r="P21" s="6" t="s">
        <v>240</v>
      </c>
      <c r="Q21" s="6" t="s">
        <v>283</v>
      </c>
      <c r="R21" s="6">
        <v>2</v>
      </c>
      <c r="S21" s="6" t="s">
        <v>240</v>
      </c>
      <c r="T21" s="6" t="s">
        <v>284</v>
      </c>
      <c r="U21" s="6">
        <v>2</v>
      </c>
      <c r="V21" s="6" t="s">
        <v>127</v>
      </c>
      <c r="W21" s="6" t="s">
        <v>246</v>
      </c>
      <c r="X21" s="6" t="s">
        <v>32</v>
      </c>
      <c r="Y21" s="6" t="s">
        <v>285</v>
      </c>
      <c r="Z21" s="6" t="s">
        <v>32</v>
      </c>
      <c r="AA21" s="6" t="s">
        <v>286</v>
      </c>
      <c r="AB21" s="6" t="s">
        <v>32</v>
      </c>
      <c r="AC21" s="6" t="s">
        <v>287</v>
      </c>
      <c r="AD21" s="6" t="s">
        <v>32</v>
      </c>
      <c r="AE21" s="6" t="s">
        <v>285</v>
      </c>
    </row>
    <row r="22" spans="1:31" x14ac:dyDescent="0.25">
      <c r="A22" s="6">
        <v>21</v>
      </c>
      <c r="B22" s="6" t="s">
        <v>73</v>
      </c>
      <c r="C22" s="6">
        <v>1</v>
      </c>
      <c r="D22" s="6" t="s">
        <v>127</v>
      </c>
      <c r="E22" s="6" t="s">
        <v>288</v>
      </c>
      <c r="F22" s="6">
        <v>2</v>
      </c>
      <c r="G22" s="6" t="s">
        <v>240</v>
      </c>
      <c r="H22" s="6" t="s">
        <v>289</v>
      </c>
      <c r="I22" s="6">
        <v>2</v>
      </c>
      <c r="J22" s="6" t="s">
        <v>240</v>
      </c>
      <c r="K22" s="6" t="s">
        <v>290</v>
      </c>
      <c r="L22" s="6">
        <v>2</v>
      </c>
      <c r="M22" s="6" t="s">
        <v>240</v>
      </c>
      <c r="N22" s="6" t="s">
        <v>291</v>
      </c>
      <c r="O22" s="6">
        <v>3</v>
      </c>
      <c r="P22" s="6" t="s">
        <v>240</v>
      </c>
      <c r="Q22" s="6" t="s">
        <v>292</v>
      </c>
      <c r="R22" s="6">
        <v>2</v>
      </c>
      <c r="S22" s="6" t="s">
        <v>240</v>
      </c>
      <c r="T22" s="6" t="s">
        <v>293</v>
      </c>
      <c r="U22" s="6">
        <v>2</v>
      </c>
      <c r="V22" s="6" t="s">
        <v>127</v>
      </c>
      <c r="W22" s="6" t="s">
        <v>246</v>
      </c>
      <c r="X22" s="6" t="s">
        <v>32</v>
      </c>
      <c r="Y22" s="6" t="s">
        <v>294</v>
      </c>
      <c r="Z22" s="6" t="s">
        <v>32</v>
      </c>
      <c r="AA22" s="6" t="s">
        <v>295</v>
      </c>
      <c r="AB22" s="6" t="s">
        <v>32</v>
      </c>
      <c r="AC22" s="6" t="s">
        <v>296</v>
      </c>
      <c r="AD22" s="6" t="s">
        <v>32</v>
      </c>
      <c r="AE22" s="6" t="s">
        <v>297</v>
      </c>
    </row>
    <row r="23" spans="1:31" x14ac:dyDescent="0.25">
      <c r="A23" s="6">
        <v>22</v>
      </c>
      <c r="B23" s="6" t="s">
        <v>75</v>
      </c>
      <c r="C23" s="6">
        <v>1</v>
      </c>
      <c r="D23" s="6" t="s">
        <v>127</v>
      </c>
      <c r="E23" s="6" t="s">
        <v>288</v>
      </c>
      <c r="F23" s="6">
        <v>1</v>
      </c>
      <c r="G23" s="6" t="s">
        <v>240</v>
      </c>
      <c r="H23" s="6" t="s">
        <v>298</v>
      </c>
      <c r="I23" s="6">
        <v>3</v>
      </c>
      <c r="J23" s="6" t="s">
        <v>240</v>
      </c>
      <c r="K23" s="6" t="s">
        <v>299</v>
      </c>
      <c r="L23" s="6">
        <v>3</v>
      </c>
      <c r="M23" s="6" t="s">
        <v>240</v>
      </c>
      <c r="N23" s="6" t="s">
        <v>300</v>
      </c>
      <c r="O23" s="6">
        <v>2</v>
      </c>
      <c r="P23" s="6" t="s">
        <v>240</v>
      </c>
      <c r="Q23" s="6" t="s">
        <v>301</v>
      </c>
      <c r="R23" s="6">
        <v>2</v>
      </c>
      <c r="S23" s="6" t="s">
        <v>240</v>
      </c>
      <c r="T23" s="6" t="s">
        <v>302</v>
      </c>
      <c r="U23" s="6">
        <v>2</v>
      </c>
      <c r="V23" s="6" t="s">
        <v>127</v>
      </c>
      <c r="W23" s="6" t="s">
        <v>246</v>
      </c>
      <c r="X23" s="6" t="s">
        <v>32</v>
      </c>
      <c r="Y23" s="6" t="s">
        <v>303</v>
      </c>
      <c r="Z23" s="6" t="s">
        <v>32</v>
      </c>
      <c r="AA23" s="6" t="s">
        <v>304</v>
      </c>
      <c r="AB23" s="6" t="s">
        <v>32</v>
      </c>
      <c r="AC23" s="6" t="s">
        <v>305</v>
      </c>
      <c r="AD23" s="6" t="s">
        <v>32</v>
      </c>
      <c r="AE23" s="6" t="s">
        <v>306</v>
      </c>
    </row>
    <row r="24" spans="1:31" x14ac:dyDescent="0.25">
      <c r="A24" s="6">
        <v>23</v>
      </c>
      <c r="B24" s="6" t="s">
        <v>77</v>
      </c>
      <c r="C24" s="6">
        <v>1</v>
      </c>
      <c r="D24" s="6" t="s">
        <v>127</v>
      </c>
      <c r="E24" s="6" t="s">
        <v>128</v>
      </c>
      <c r="F24" s="6">
        <v>1</v>
      </c>
      <c r="G24" s="6" t="s">
        <v>240</v>
      </c>
      <c r="H24" s="6" t="s">
        <v>307</v>
      </c>
      <c r="I24" s="6">
        <v>3</v>
      </c>
      <c r="J24" s="6" t="s">
        <v>240</v>
      </c>
      <c r="K24" s="6" t="s">
        <v>308</v>
      </c>
      <c r="L24" s="6">
        <v>3</v>
      </c>
      <c r="M24" s="6" t="s">
        <v>240</v>
      </c>
      <c r="N24" s="6" t="s">
        <v>309</v>
      </c>
      <c r="O24" s="6">
        <v>2</v>
      </c>
      <c r="P24" s="6" t="s">
        <v>240</v>
      </c>
      <c r="Q24" s="6" t="s">
        <v>310</v>
      </c>
      <c r="R24" s="6">
        <v>2</v>
      </c>
      <c r="S24" s="6" t="s">
        <v>240</v>
      </c>
      <c r="T24" s="6" t="s">
        <v>311</v>
      </c>
      <c r="U24" s="6">
        <v>2</v>
      </c>
      <c r="V24" s="6" t="s">
        <v>127</v>
      </c>
      <c r="W24" s="6" t="s">
        <v>246</v>
      </c>
      <c r="X24" s="6" t="s">
        <v>32</v>
      </c>
      <c r="Y24" s="6" t="s">
        <v>312</v>
      </c>
      <c r="Z24" s="6" t="s">
        <v>32</v>
      </c>
      <c r="AA24" s="6" t="s">
        <v>313</v>
      </c>
      <c r="AB24" s="6" t="s">
        <v>32</v>
      </c>
      <c r="AC24" s="6" t="s">
        <v>314</v>
      </c>
      <c r="AD24" s="6" t="s">
        <v>32</v>
      </c>
      <c r="AE24" s="6" t="s">
        <v>315</v>
      </c>
    </row>
    <row r="25" spans="1:31" x14ac:dyDescent="0.25">
      <c r="A25" s="6">
        <v>24</v>
      </c>
      <c r="B25" s="6" t="s">
        <v>79</v>
      </c>
      <c r="C25" s="6">
        <v>2</v>
      </c>
      <c r="D25" s="6" t="s">
        <v>127</v>
      </c>
      <c r="E25" s="6" t="s">
        <v>316</v>
      </c>
      <c r="F25" s="6">
        <v>2</v>
      </c>
      <c r="G25" s="6" t="s">
        <v>240</v>
      </c>
      <c r="H25" s="6" t="s">
        <v>317</v>
      </c>
      <c r="I25" s="6">
        <v>2</v>
      </c>
      <c r="J25" s="6" t="s">
        <v>240</v>
      </c>
      <c r="K25" s="6" t="s">
        <v>318</v>
      </c>
      <c r="L25" s="6">
        <v>2</v>
      </c>
      <c r="M25" s="6" t="s">
        <v>240</v>
      </c>
      <c r="N25" s="6" t="s">
        <v>319</v>
      </c>
      <c r="O25" s="6">
        <v>2</v>
      </c>
      <c r="P25" s="6" t="s">
        <v>240</v>
      </c>
      <c r="Q25" s="6" t="s">
        <v>320</v>
      </c>
      <c r="R25" s="6">
        <v>2</v>
      </c>
      <c r="S25" s="6" t="s">
        <v>240</v>
      </c>
      <c r="T25" s="6" t="s">
        <v>321</v>
      </c>
      <c r="U25" s="6">
        <v>2</v>
      </c>
      <c r="V25" s="6" t="s">
        <v>127</v>
      </c>
      <c r="W25" s="6" t="s">
        <v>246</v>
      </c>
      <c r="X25" s="6" t="s">
        <v>32</v>
      </c>
      <c r="Y25" s="6" t="s">
        <v>322</v>
      </c>
      <c r="Z25" s="6" t="s">
        <v>32</v>
      </c>
      <c r="AA25" s="6" t="s">
        <v>323</v>
      </c>
      <c r="AB25" s="6" t="s">
        <v>32</v>
      </c>
      <c r="AC25" s="6" t="s">
        <v>324</v>
      </c>
      <c r="AD25" s="6" t="s">
        <v>32</v>
      </c>
      <c r="AE25" s="6" t="s">
        <v>325</v>
      </c>
    </row>
    <row r="26" spans="1:31" x14ac:dyDescent="0.25">
      <c r="A26" s="6">
        <v>25</v>
      </c>
      <c r="B26" s="6" t="s">
        <v>81</v>
      </c>
      <c r="C26" s="6">
        <v>1</v>
      </c>
      <c r="D26" s="6" t="s">
        <v>127</v>
      </c>
      <c r="E26" s="6" t="s">
        <v>128</v>
      </c>
      <c r="F26" s="6">
        <v>2</v>
      </c>
      <c r="G26" s="6" t="s">
        <v>240</v>
      </c>
      <c r="H26" s="6" t="s">
        <v>326</v>
      </c>
      <c r="I26" s="6">
        <v>2</v>
      </c>
      <c r="J26" s="6" t="s">
        <v>240</v>
      </c>
      <c r="K26" s="6" t="s">
        <v>327</v>
      </c>
      <c r="L26" s="6">
        <v>3</v>
      </c>
      <c r="M26" s="6" t="s">
        <v>240</v>
      </c>
      <c r="N26" s="6" t="s">
        <v>328</v>
      </c>
      <c r="O26" s="6">
        <v>2</v>
      </c>
      <c r="P26" s="6" t="s">
        <v>240</v>
      </c>
      <c r="Q26" s="6" t="s">
        <v>329</v>
      </c>
      <c r="R26" s="6">
        <v>1</v>
      </c>
      <c r="S26" s="6" t="s">
        <v>240</v>
      </c>
      <c r="T26" s="6" t="s">
        <v>330</v>
      </c>
      <c r="U26" s="6">
        <v>2</v>
      </c>
      <c r="V26" s="6" t="s">
        <v>127</v>
      </c>
      <c r="W26" s="6" t="s">
        <v>246</v>
      </c>
      <c r="X26" s="6" t="s">
        <v>32</v>
      </c>
      <c r="Y26" s="6" t="s">
        <v>331</v>
      </c>
      <c r="Z26" s="6" t="s">
        <v>32</v>
      </c>
      <c r="AA26" s="6" t="s">
        <v>332</v>
      </c>
      <c r="AB26" s="6" t="s">
        <v>32</v>
      </c>
      <c r="AC26" s="6" t="s">
        <v>333</v>
      </c>
      <c r="AD26" s="6" t="s">
        <v>32</v>
      </c>
      <c r="AE26" s="6" t="s">
        <v>334</v>
      </c>
    </row>
    <row r="27" spans="1:31" x14ac:dyDescent="0.25">
      <c r="A27" s="6">
        <v>26</v>
      </c>
      <c r="B27" s="6" t="s">
        <v>83</v>
      </c>
      <c r="C27" s="6">
        <v>1</v>
      </c>
      <c r="D27" s="6" t="s">
        <v>127</v>
      </c>
      <c r="E27" s="6" t="s">
        <v>128</v>
      </c>
      <c r="F27" s="6">
        <v>1</v>
      </c>
      <c r="G27" s="6" t="s">
        <v>240</v>
      </c>
      <c r="H27" s="6" t="s">
        <v>335</v>
      </c>
      <c r="I27" s="6">
        <v>2</v>
      </c>
      <c r="J27" s="6" t="s">
        <v>240</v>
      </c>
      <c r="K27" s="6" t="s">
        <v>336</v>
      </c>
      <c r="L27" s="6">
        <v>2</v>
      </c>
      <c r="M27" s="6" t="s">
        <v>240</v>
      </c>
      <c r="N27" s="6" t="s">
        <v>337</v>
      </c>
      <c r="O27" s="6">
        <v>3</v>
      </c>
      <c r="P27" s="6" t="s">
        <v>240</v>
      </c>
      <c r="Q27" s="6" t="s">
        <v>338</v>
      </c>
      <c r="R27" s="6">
        <v>2</v>
      </c>
      <c r="S27" s="6" t="s">
        <v>240</v>
      </c>
      <c r="T27" s="6" t="s">
        <v>339</v>
      </c>
      <c r="U27" s="6">
        <v>2</v>
      </c>
      <c r="V27" s="6" t="s">
        <v>127</v>
      </c>
      <c r="W27" s="6" t="s">
        <v>246</v>
      </c>
      <c r="X27" s="6" t="s">
        <v>32</v>
      </c>
      <c r="Y27" s="6" t="s">
        <v>340</v>
      </c>
      <c r="Z27" s="6" t="s">
        <v>32</v>
      </c>
      <c r="AA27" s="6" t="s">
        <v>341</v>
      </c>
      <c r="AB27" s="6" t="s">
        <v>32</v>
      </c>
      <c r="AC27" s="6" t="s">
        <v>342</v>
      </c>
      <c r="AD27" s="6" t="s">
        <v>32</v>
      </c>
      <c r="AE27" s="6" t="s">
        <v>342</v>
      </c>
    </row>
    <row r="28" spans="1:31" x14ac:dyDescent="0.25">
      <c r="A28" s="6">
        <v>27</v>
      </c>
      <c r="B28" s="6" t="s">
        <v>85</v>
      </c>
      <c r="C28" s="6">
        <v>1</v>
      </c>
      <c r="D28" s="6" t="s">
        <v>127</v>
      </c>
      <c r="E28" s="6" t="s">
        <v>128</v>
      </c>
      <c r="F28" s="6">
        <v>2</v>
      </c>
      <c r="G28" s="6" t="s">
        <v>240</v>
      </c>
      <c r="H28" s="6" t="s">
        <v>343</v>
      </c>
      <c r="I28" s="6">
        <v>1</v>
      </c>
      <c r="J28" s="6" t="s">
        <v>240</v>
      </c>
      <c r="K28" s="6" t="s">
        <v>344</v>
      </c>
      <c r="L28" s="6">
        <v>3</v>
      </c>
      <c r="M28" s="6" t="s">
        <v>240</v>
      </c>
      <c r="N28" s="6" t="s">
        <v>345</v>
      </c>
      <c r="O28" s="6">
        <v>2</v>
      </c>
      <c r="P28" s="6" t="s">
        <v>240</v>
      </c>
      <c r="Q28" s="6" t="s">
        <v>346</v>
      </c>
      <c r="R28" s="6">
        <v>2</v>
      </c>
      <c r="S28" s="6" t="s">
        <v>240</v>
      </c>
      <c r="T28" s="6" t="s">
        <v>347</v>
      </c>
      <c r="U28" s="6">
        <v>2</v>
      </c>
      <c r="V28" s="6" t="s">
        <v>127</v>
      </c>
      <c r="W28" s="6" t="s">
        <v>246</v>
      </c>
      <c r="X28" s="6" t="s">
        <v>32</v>
      </c>
      <c r="Y28" s="6" t="s">
        <v>348</v>
      </c>
      <c r="Z28" s="6" t="s">
        <v>32</v>
      </c>
      <c r="AA28" s="6" t="s">
        <v>86</v>
      </c>
      <c r="AB28" s="6" t="s">
        <v>32</v>
      </c>
      <c r="AC28" s="6" t="s">
        <v>349</v>
      </c>
      <c r="AD28" s="6" t="s">
        <v>32</v>
      </c>
      <c r="AE28" s="6" t="s">
        <v>348</v>
      </c>
    </row>
    <row r="29" spans="1:31" x14ac:dyDescent="0.25">
      <c r="A29" s="6">
        <v>28</v>
      </c>
      <c r="B29" s="6" t="s">
        <v>88</v>
      </c>
      <c r="C29" s="6">
        <v>3</v>
      </c>
      <c r="D29" s="6" t="s">
        <v>127</v>
      </c>
      <c r="E29" s="6" t="s">
        <v>350</v>
      </c>
      <c r="F29" s="6">
        <v>3</v>
      </c>
      <c r="G29" s="6" t="s">
        <v>127</v>
      </c>
      <c r="H29" s="6" t="s">
        <v>351</v>
      </c>
      <c r="I29" s="6">
        <v>1</v>
      </c>
      <c r="J29" s="6" t="s">
        <v>127</v>
      </c>
      <c r="K29" s="6" t="s">
        <v>352</v>
      </c>
      <c r="L29" s="6">
        <v>3</v>
      </c>
      <c r="M29" s="6" t="s">
        <v>127</v>
      </c>
      <c r="N29" s="6" t="s">
        <v>353</v>
      </c>
      <c r="O29" s="6">
        <v>1</v>
      </c>
      <c r="P29" s="6" t="s">
        <v>127</v>
      </c>
      <c r="Q29" s="6" t="s">
        <v>354</v>
      </c>
      <c r="R29" s="6" t="s">
        <v>89</v>
      </c>
      <c r="S29" s="6" t="s">
        <v>90</v>
      </c>
      <c r="T29" s="6" t="s">
        <v>90</v>
      </c>
      <c r="U29" s="6">
        <v>3</v>
      </c>
      <c r="V29" s="6" t="s">
        <v>127</v>
      </c>
      <c r="W29" s="6" t="s">
        <v>355</v>
      </c>
      <c r="X29" s="6" t="s">
        <v>90</v>
      </c>
      <c r="Y29" s="6" t="s">
        <v>90</v>
      </c>
      <c r="Z29" s="6" t="s">
        <v>90</v>
      </c>
      <c r="AA29" s="6" t="s">
        <v>90</v>
      </c>
      <c r="AB29" s="6" t="s">
        <v>90</v>
      </c>
      <c r="AC29" s="6" t="s">
        <v>90</v>
      </c>
      <c r="AD29" s="6" t="s">
        <v>90</v>
      </c>
      <c r="AE29" s="6" t="s">
        <v>90</v>
      </c>
    </row>
    <row r="30" spans="1:31" x14ac:dyDescent="0.25">
      <c r="A30" s="6">
        <v>29</v>
      </c>
      <c r="B30" s="6" t="s">
        <v>91</v>
      </c>
      <c r="C30" s="6">
        <v>3</v>
      </c>
      <c r="D30" s="6" t="s">
        <v>127</v>
      </c>
      <c r="E30" s="6" t="s">
        <v>356</v>
      </c>
      <c r="F30" s="6">
        <v>3</v>
      </c>
      <c r="G30" s="6" t="s">
        <v>127</v>
      </c>
      <c r="H30" s="6" t="s">
        <v>357</v>
      </c>
      <c r="I30" s="6">
        <v>1</v>
      </c>
      <c r="J30" s="6" t="s">
        <v>127</v>
      </c>
      <c r="K30" s="6" t="s">
        <v>352</v>
      </c>
      <c r="L30" s="6">
        <v>3</v>
      </c>
      <c r="M30" s="6" t="s">
        <v>127</v>
      </c>
      <c r="N30" s="6" t="s">
        <v>353</v>
      </c>
      <c r="O30" s="6">
        <v>1</v>
      </c>
      <c r="P30" s="6" t="s">
        <v>127</v>
      </c>
      <c r="Q30" s="6" t="s">
        <v>354</v>
      </c>
      <c r="R30" s="6" t="s">
        <v>89</v>
      </c>
      <c r="S30" s="6" t="s">
        <v>90</v>
      </c>
      <c r="T30" s="6" t="s">
        <v>90</v>
      </c>
      <c r="U30" s="6">
        <v>3</v>
      </c>
      <c r="V30" s="6" t="s">
        <v>127</v>
      </c>
      <c r="W30" s="6" t="s">
        <v>355</v>
      </c>
      <c r="X30" s="6" t="s">
        <v>90</v>
      </c>
      <c r="Y30" s="6" t="s">
        <v>90</v>
      </c>
      <c r="Z30" s="6" t="s">
        <v>90</v>
      </c>
      <c r="AA30" s="6" t="s">
        <v>90</v>
      </c>
      <c r="AB30" s="6" t="s">
        <v>90</v>
      </c>
      <c r="AC30" s="6" t="s">
        <v>90</v>
      </c>
      <c r="AD30" s="6" t="s">
        <v>90</v>
      </c>
      <c r="AE30" s="6" t="s">
        <v>90</v>
      </c>
    </row>
    <row r="31" spans="1:31" x14ac:dyDescent="0.25">
      <c r="A31" s="6">
        <v>30</v>
      </c>
      <c r="B31" s="6" t="s">
        <v>92</v>
      </c>
      <c r="C31" s="6">
        <v>3</v>
      </c>
      <c r="D31" s="6" t="s">
        <v>127</v>
      </c>
      <c r="E31" s="6" t="s">
        <v>358</v>
      </c>
      <c r="F31" s="6">
        <v>3</v>
      </c>
      <c r="G31" s="6" t="s">
        <v>127</v>
      </c>
      <c r="H31" s="6" t="s">
        <v>359</v>
      </c>
      <c r="I31" s="6">
        <v>1</v>
      </c>
      <c r="J31" s="6" t="s">
        <v>127</v>
      </c>
      <c r="K31" s="6" t="s">
        <v>352</v>
      </c>
      <c r="L31" s="6">
        <v>3</v>
      </c>
      <c r="M31" s="6" t="s">
        <v>127</v>
      </c>
      <c r="N31" s="6" t="s">
        <v>353</v>
      </c>
      <c r="O31" s="6">
        <v>1</v>
      </c>
      <c r="P31" s="6" t="s">
        <v>127</v>
      </c>
      <c r="Q31" s="6" t="s">
        <v>354</v>
      </c>
      <c r="R31" s="6" t="s">
        <v>89</v>
      </c>
      <c r="S31" s="6" t="s">
        <v>90</v>
      </c>
      <c r="T31" s="6" t="s">
        <v>90</v>
      </c>
      <c r="U31" s="6">
        <v>3</v>
      </c>
      <c r="V31" s="6" t="s">
        <v>127</v>
      </c>
      <c r="W31" s="6" t="s">
        <v>355</v>
      </c>
      <c r="X31" s="6" t="s">
        <v>90</v>
      </c>
      <c r="Y31" s="6" t="s">
        <v>90</v>
      </c>
      <c r="Z31" s="6" t="s">
        <v>90</v>
      </c>
      <c r="AA31" s="6" t="s">
        <v>90</v>
      </c>
      <c r="AB31" s="6" t="s">
        <v>90</v>
      </c>
      <c r="AC31" s="6" t="s">
        <v>90</v>
      </c>
      <c r="AD31" s="6" t="s">
        <v>90</v>
      </c>
      <c r="AE31" s="6" t="s">
        <v>90</v>
      </c>
    </row>
    <row r="32" spans="1:31" x14ac:dyDescent="0.25">
      <c r="A32" s="6">
        <v>31</v>
      </c>
      <c r="B32" s="6" t="s">
        <v>93</v>
      </c>
      <c r="C32" s="6">
        <v>3</v>
      </c>
      <c r="D32" s="6" t="s">
        <v>127</v>
      </c>
      <c r="E32" s="6" t="s">
        <v>360</v>
      </c>
      <c r="F32" s="6">
        <v>3</v>
      </c>
      <c r="G32" s="6" t="s">
        <v>127</v>
      </c>
      <c r="H32" s="6" t="s">
        <v>361</v>
      </c>
      <c r="I32" s="6">
        <v>1</v>
      </c>
      <c r="J32" s="6" t="s">
        <v>127</v>
      </c>
      <c r="K32" s="6" t="s">
        <v>352</v>
      </c>
      <c r="L32" s="6">
        <v>3</v>
      </c>
      <c r="M32" s="6" t="s">
        <v>127</v>
      </c>
      <c r="N32" s="6" t="s">
        <v>353</v>
      </c>
      <c r="O32" s="6">
        <v>1</v>
      </c>
      <c r="P32" s="6" t="s">
        <v>127</v>
      </c>
      <c r="Q32" s="6" t="s">
        <v>354</v>
      </c>
      <c r="R32" s="6" t="s">
        <v>89</v>
      </c>
      <c r="S32" s="6" t="s">
        <v>90</v>
      </c>
      <c r="T32" s="6" t="s">
        <v>90</v>
      </c>
      <c r="U32" s="6">
        <v>3</v>
      </c>
      <c r="V32" s="6" t="s">
        <v>127</v>
      </c>
      <c r="W32" s="6" t="s">
        <v>355</v>
      </c>
      <c r="X32" s="6" t="s">
        <v>90</v>
      </c>
      <c r="Y32" s="6" t="s">
        <v>90</v>
      </c>
      <c r="Z32" s="6" t="s">
        <v>90</v>
      </c>
      <c r="AA32" s="6" t="s">
        <v>90</v>
      </c>
      <c r="AB32" s="6" t="s">
        <v>90</v>
      </c>
      <c r="AC32" s="6" t="s">
        <v>90</v>
      </c>
      <c r="AD32" s="6" t="s">
        <v>90</v>
      </c>
      <c r="AE32" s="6" t="s">
        <v>90</v>
      </c>
    </row>
    <row r="33" spans="1:31" x14ac:dyDescent="0.25">
      <c r="A33" s="6">
        <v>32</v>
      </c>
      <c r="B33" s="6" t="s">
        <v>94</v>
      </c>
      <c r="C33" s="6">
        <v>3</v>
      </c>
      <c r="D33" s="6" t="s">
        <v>127</v>
      </c>
      <c r="E33" s="6" t="s">
        <v>362</v>
      </c>
      <c r="F33" s="6">
        <v>3</v>
      </c>
      <c r="G33" s="6" t="s">
        <v>127</v>
      </c>
      <c r="H33" s="6" t="s">
        <v>363</v>
      </c>
      <c r="I33" s="6">
        <v>1</v>
      </c>
      <c r="J33" s="6" t="s">
        <v>127</v>
      </c>
      <c r="K33" s="6" t="s">
        <v>352</v>
      </c>
      <c r="L33" s="6">
        <v>3</v>
      </c>
      <c r="M33" s="6" t="s">
        <v>127</v>
      </c>
      <c r="N33" s="6" t="s">
        <v>353</v>
      </c>
      <c r="O33" s="6">
        <v>1</v>
      </c>
      <c r="P33" s="6" t="s">
        <v>127</v>
      </c>
      <c r="Q33" s="6" t="s">
        <v>354</v>
      </c>
      <c r="R33" s="6" t="s">
        <v>89</v>
      </c>
      <c r="S33" s="6" t="s">
        <v>90</v>
      </c>
      <c r="T33" s="6" t="s">
        <v>90</v>
      </c>
      <c r="U33" s="6">
        <v>3</v>
      </c>
      <c r="V33" s="6" t="s">
        <v>127</v>
      </c>
      <c r="W33" s="6" t="s">
        <v>355</v>
      </c>
      <c r="X33" s="6" t="s">
        <v>90</v>
      </c>
      <c r="Y33" s="6" t="s">
        <v>90</v>
      </c>
      <c r="Z33" s="6" t="s">
        <v>90</v>
      </c>
      <c r="AA33" s="6" t="s">
        <v>90</v>
      </c>
      <c r="AB33" s="6" t="s">
        <v>90</v>
      </c>
      <c r="AC33" s="6" t="s">
        <v>90</v>
      </c>
      <c r="AD33" s="6" t="s">
        <v>90</v>
      </c>
      <c r="AE33" s="6" t="s">
        <v>90</v>
      </c>
    </row>
    <row r="34" spans="1:31" x14ac:dyDescent="0.25">
      <c r="A34" s="6">
        <v>33</v>
      </c>
      <c r="B34" s="6" t="s">
        <v>95</v>
      </c>
      <c r="C34" s="6">
        <v>3</v>
      </c>
      <c r="D34" s="6" t="s">
        <v>127</v>
      </c>
      <c r="E34" s="6" t="s">
        <v>364</v>
      </c>
      <c r="F34" s="6">
        <v>3</v>
      </c>
      <c r="G34" s="6" t="s">
        <v>127</v>
      </c>
      <c r="H34" s="6" t="s">
        <v>365</v>
      </c>
      <c r="I34" s="6">
        <v>1</v>
      </c>
      <c r="J34" s="6" t="s">
        <v>127</v>
      </c>
      <c r="K34" s="6" t="s">
        <v>352</v>
      </c>
      <c r="L34" s="6">
        <v>3</v>
      </c>
      <c r="M34" s="6" t="s">
        <v>127</v>
      </c>
      <c r="N34" s="6" t="s">
        <v>353</v>
      </c>
      <c r="O34" s="6">
        <v>1</v>
      </c>
      <c r="P34" s="6" t="s">
        <v>127</v>
      </c>
      <c r="Q34" s="6" t="s">
        <v>354</v>
      </c>
      <c r="R34" s="6" t="s">
        <v>89</v>
      </c>
      <c r="S34" s="6" t="s">
        <v>90</v>
      </c>
      <c r="T34" s="6" t="s">
        <v>90</v>
      </c>
      <c r="U34" s="6">
        <v>3</v>
      </c>
      <c r="V34" s="6" t="s">
        <v>127</v>
      </c>
      <c r="W34" s="6" t="s">
        <v>355</v>
      </c>
      <c r="X34" s="6" t="s">
        <v>90</v>
      </c>
      <c r="Y34" s="6" t="s">
        <v>90</v>
      </c>
      <c r="Z34" s="6" t="s">
        <v>90</v>
      </c>
      <c r="AA34" s="6" t="s">
        <v>90</v>
      </c>
      <c r="AB34" s="6" t="s">
        <v>90</v>
      </c>
      <c r="AC34" s="6" t="s">
        <v>90</v>
      </c>
      <c r="AD34" s="6" t="s">
        <v>90</v>
      </c>
      <c r="AE34" s="6" t="s">
        <v>90</v>
      </c>
    </row>
    <row r="35" spans="1:31" x14ac:dyDescent="0.25">
      <c r="A35" s="6">
        <v>34</v>
      </c>
      <c r="B35" s="6" t="s">
        <v>96</v>
      </c>
      <c r="C35" s="6">
        <v>1</v>
      </c>
      <c r="D35" s="6" t="s">
        <v>127</v>
      </c>
      <c r="E35" s="6" t="s">
        <v>366</v>
      </c>
      <c r="F35" s="6">
        <v>2</v>
      </c>
      <c r="G35" s="6" t="s">
        <v>127</v>
      </c>
      <c r="H35" s="6" t="s">
        <v>367</v>
      </c>
      <c r="I35" s="6">
        <v>1</v>
      </c>
      <c r="J35" s="6" t="s">
        <v>127</v>
      </c>
      <c r="K35" s="6" t="s">
        <v>352</v>
      </c>
      <c r="L35" s="6">
        <v>3</v>
      </c>
      <c r="M35" s="6" t="s">
        <v>127</v>
      </c>
      <c r="N35" s="6" t="s">
        <v>353</v>
      </c>
      <c r="O35" s="6">
        <v>1</v>
      </c>
      <c r="P35" s="6" t="s">
        <v>127</v>
      </c>
      <c r="Q35" s="6" t="s">
        <v>354</v>
      </c>
      <c r="R35" s="6" t="s">
        <v>89</v>
      </c>
      <c r="S35" s="6" t="s">
        <v>90</v>
      </c>
      <c r="T35" s="6" t="s">
        <v>90</v>
      </c>
      <c r="U35" s="6">
        <v>3</v>
      </c>
      <c r="V35" s="6" t="s">
        <v>127</v>
      </c>
      <c r="W35" s="6" t="s">
        <v>355</v>
      </c>
      <c r="X35" s="6" t="s">
        <v>90</v>
      </c>
      <c r="Y35" s="6" t="s">
        <v>90</v>
      </c>
      <c r="Z35" s="6" t="s">
        <v>90</v>
      </c>
      <c r="AA35" s="6" t="s">
        <v>90</v>
      </c>
      <c r="AB35" s="6" t="s">
        <v>90</v>
      </c>
      <c r="AC35" s="6" t="s">
        <v>90</v>
      </c>
      <c r="AD35" s="6" t="s">
        <v>90</v>
      </c>
      <c r="AE35" s="6" t="s">
        <v>90</v>
      </c>
    </row>
    <row r="36" spans="1:31" x14ac:dyDescent="0.25">
      <c r="A36" s="6">
        <v>35</v>
      </c>
      <c r="B36" s="6" t="s">
        <v>97</v>
      </c>
      <c r="C36" s="6">
        <v>1</v>
      </c>
      <c r="D36" s="6" t="s">
        <v>127</v>
      </c>
      <c r="E36" s="6" t="s">
        <v>366</v>
      </c>
      <c r="F36" s="6">
        <v>2</v>
      </c>
      <c r="G36" s="6" t="s">
        <v>127</v>
      </c>
      <c r="H36" s="6" t="s">
        <v>368</v>
      </c>
      <c r="I36" s="6">
        <v>1</v>
      </c>
      <c r="J36" s="6" t="s">
        <v>127</v>
      </c>
      <c r="K36" s="6" t="s">
        <v>352</v>
      </c>
      <c r="L36" s="6">
        <v>3</v>
      </c>
      <c r="M36" s="6" t="s">
        <v>127</v>
      </c>
      <c r="N36" s="6" t="s">
        <v>353</v>
      </c>
      <c r="O36" s="6">
        <v>1</v>
      </c>
      <c r="P36" s="6" t="s">
        <v>127</v>
      </c>
      <c r="Q36" s="6" t="s">
        <v>354</v>
      </c>
      <c r="R36" s="6" t="s">
        <v>89</v>
      </c>
      <c r="S36" s="6" t="s">
        <v>90</v>
      </c>
      <c r="T36" s="6" t="s">
        <v>90</v>
      </c>
      <c r="U36" s="6">
        <v>3</v>
      </c>
      <c r="V36" s="6" t="s">
        <v>127</v>
      </c>
      <c r="W36" s="6" t="s">
        <v>355</v>
      </c>
      <c r="X36" s="6" t="s">
        <v>90</v>
      </c>
      <c r="Y36" s="6" t="s">
        <v>90</v>
      </c>
      <c r="Z36" s="6" t="s">
        <v>90</v>
      </c>
      <c r="AA36" s="6" t="s">
        <v>90</v>
      </c>
      <c r="AB36" s="6" t="s">
        <v>90</v>
      </c>
      <c r="AC36" s="6" t="s">
        <v>90</v>
      </c>
      <c r="AD36" s="6" t="s">
        <v>90</v>
      </c>
      <c r="AE36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7" customWidth="1"/>
    <col min="3" max="4" width="45" customWidth="1"/>
    <col min="5" max="5" width="24" customWidth="1"/>
    <col min="6" max="6" width="60" customWidth="1"/>
    <col min="7" max="7" width="20" customWidth="1"/>
  </cols>
  <sheetData>
    <row r="1" ht="30" customHeight="1" spans="1:7" x14ac:dyDescent="0.25">
      <c r="A1" s="4" t="s">
        <v>3</v>
      </c>
      <c r="B1" s="4" t="s">
        <v>6</v>
      </c>
      <c r="C1" s="4" t="s">
        <v>369</v>
      </c>
      <c r="D1" s="4" t="s">
        <v>370</v>
      </c>
      <c r="E1" s="4" t="s">
        <v>371</v>
      </c>
      <c r="F1" s="4" t="s">
        <v>372</v>
      </c>
      <c r="G1" s="4" t="s">
        <v>373</v>
      </c>
    </row>
    <row r="2" spans="1:7" x14ac:dyDescent="0.25">
      <c r="A2" s="6">
        <v>1</v>
      </c>
      <c r="B2" s="6" t="s">
        <v>31</v>
      </c>
      <c r="C2" s="6" t="s">
        <v>374</v>
      </c>
      <c r="D2" s="6" t="s">
        <v>375</v>
      </c>
      <c r="E2" s="6" t="s">
        <v>376</v>
      </c>
      <c r="F2" s="6" t="s">
        <v>377</v>
      </c>
      <c r="G2" s="6" t="s">
        <v>378</v>
      </c>
    </row>
    <row r="3" spans="1:7" x14ac:dyDescent="0.25">
      <c r="A3" s="6">
        <v>2</v>
      </c>
      <c r="B3" s="6" t="s">
        <v>31</v>
      </c>
      <c r="C3" s="6" t="s">
        <v>379</v>
      </c>
      <c r="D3" s="6" t="s">
        <v>380</v>
      </c>
      <c r="E3" s="6" t="s">
        <v>25</v>
      </c>
      <c r="F3" s="6" t="s">
        <v>381</v>
      </c>
      <c r="G3" s="6" t="s">
        <v>90</v>
      </c>
    </row>
    <row r="4" spans="1:7" x14ac:dyDescent="0.25">
      <c r="A4" s="6">
        <v>3</v>
      </c>
      <c r="B4" s="6" t="s">
        <v>31</v>
      </c>
      <c r="C4" s="6" t="s">
        <v>382</v>
      </c>
      <c r="D4" s="6" t="s">
        <v>383</v>
      </c>
      <c r="E4" s="6" t="s">
        <v>25</v>
      </c>
      <c r="F4" s="6" t="s">
        <v>384</v>
      </c>
      <c r="G4" s="6" t="s">
        <v>90</v>
      </c>
    </row>
    <row r="5" spans="1:7" x14ac:dyDescent="0.25">
      <c r="A5" s="6">
        <v>4</v>
      </c>
      <c r="B5" s="6" t="s">
        <v>31</v>
      </c>
      <c r="C5" s="6" t="s">
        <v>385</v>
      </c>
      <c r="D5" s="6" t="s">
        <v>386</v>
      </c>
      <c r="E5" s="6" t="s">
        <v>25</v>
      </c>
      <c r="F5" s="6" t="s">
        <v>387</v>
      </c>
      <c r="G5" s="6" t="s">
        <v>90</v>
      </c>
    </row>
    <row r="6" spans="1:7" x14ac:dyDescent="0.25">
      <c r="A6" s="6">
        <v>5</v>
      </c>
      <c r="B6" s="6" t="s">
        <v>31</v>
      </c>
      <c r="C6" s="6" t="s">
        <v>388</v>
      </c>
      <c r="D6" s="6" t="s">
        <v>389</v>
      </c>
      <c r="E6" s="6" t="s">
        <v>25</v>
      </c>
      <c r="F6" s="6" t="s">
        <v>390</v>
      </c>
      <c r="G6" s="6" t="s">
        <v>90</v>
      </c>
    </row>
    <row r="7" spans="1:7" x14ac:dyDescent="0.25">
      <c r="A7" s="6">
        <v>6</v>
      </c>
      <c r="B7" s="6" t="s">
        <v>31</v>
      </c>
      <c r="C7" s="6" t="s">
        <v>391</v>
      </c>
      <c r="D7" s="6" t="s">
        <v>392</v>
      </c>
      <c r="E7" s="6" t="s">
        <v>24</v>
      </c>
      <c r="F7" s="6" t="s">
        <v>393</v>
      </c>
      <c r="G7" s="6" t="s">
        <v>394</v>
      </c>
    </row>
    <row r="8" spans="1:7" x14ac:dyDescent="0.25">
      <c r="A8" s="6">
        <v>7</v>
      </c>
      <c r="B8" s="6" t="s">
        <v>31</v>
      </c>
      <c r="C8" s="6" t="s">
        <v>395</v>
      </c>
      <c r="D8" s="6" t="s">
        <v>396</v>
      </c>
      <c r="E8" s="6" t="s">
        <v>25</v>
      </c>
      <c r="F8" s="6" t="s">
        <v>397</v>
      </c>
      <c r="G8" s="6" t="s">
        <v>90</v>
      </c>
    </row>
    <row r="9" spans="1:7" x14ac:dyDescent="0.25">
      <c r="A9" s="6">
        <v>8</v>
      </c>
      <c r="B9" s="6" t="s">
        <v>31</v>
      </c>
      <c r="C9" s="6" t="s">
        <v>398</v>
      </c>
      <c r="D9" s="6" t="s">
        <v>399</v>
      </c>
      <c r="E9" s="6" t="s">
        <v>25</v>
      </c>
      <c r="F9" s="6" t="s">
        <v>400</v>
      </c>
      <c r="G9" s="6" t="s">
        <v>90</v>
      </c>
    </row>
    <row r="10" spans="1:7" x14ac:dyDescent="0.25">
      <c r="A10" s="6">
        <v>9</v>
      </c>
      <c r="B10" s="6" t="s">
        <v>31</v>
      </c>
      <c r="C10" s="6" t="s">
        <v>401</v>
      </c>
      <c r="D10" s="6" t="s">
        <v>402</v>
      </c>
      <c r="E10" s="6" t="s">
        <v>23</v>
      </c>
      <c r="F10" s="6" t="s">
        <v>403</v>
      </c>
      <c r="G10" s="6" t="s">
        <v>90</v>
      </c>
    </row>
    <row r="11" spans="1:7" x14ac:dyDescent="0.25">
      <c r="A11" s="6">
        <v>10</v>
      </c>
      <c r="B11" s="6" t="s">
        <v>31</v>
      </c>
      <c r="C11" s="6" t="s">
        <v>404</v>
      </c>
      <c r="D11" s="6" t="s">
        <v>405</v>
      </c>
      <c r="E11" s="6" t="s">
        <v>376</v>
      </c>
      <c r="F11" s="6" t="s">
        <v>406</v>
      </c>
      <c r="G11" s="6" t="s">
        <v>407</v>
      </c>
    </row>
    <row r="12" spans="1:7" x14ac:dyDescent="0.25">
      <c r="A12" s="6">
        <v>11</v>
      </c>
      <c r="B12" s="6" t="s">
        <v>31</v>
      </c>
      <c r="C12" s="6" t="s">
        <v>408</v>
      </c>
      <c r="D12" s="6" t="s">
        <v>409</v>
      </c>
      <c r="E12" s="6" t="s">
        <v>376</v>
      </c>
      <c r="F12" s="6" t="s">
        <v>410</v>
      </c>
      <c r="G12" s="6" t="s">
        <v>411</v>
      </c>
    </row>
    <row r="13" spans="1:7" x14ac:dyDescent="0.25">
      <c r="A13" s="6">
        <v>12</v>
      </c>
      <c r="B13" s="6" t="s">
        <v>31</v>
      </c>
      <c r="C13" s="6" t="s">
        <v>412</v>
      </c>
      <c r="D13" s="6" t="s">
        <v>413</v>
      </c>
      <c r="E13" s="6" t="s">
        <v>414</v>
      </c>
      <c r="F13" s="6" t="s">
        <v>415</v>
      </c>
      <c r="G13" s="6" t="s">
        <v>394</v>
      </c>
    </row>
    <row r="14" spans="1:7" x14ac:dyDescent="0.25">
      <c r="A14" s="6">
        <v>13</v>
      </c>
      <c r="B14" s="6" t="s">
        <v>31</v>
      </c>
      <c r="C14" s="6" t="s">
        <v>416</v>
      </c>
      <c r="D14" s="6" t="s">
        <v>417</v>
      </c>
      <c r="E14" s="6" t="s">
        <v>414</v>
      </c>
      <c r="F14" s="6" t="s">
        <v>418</v>
      </c>
      <c r="G14" s="6" t="s">
        <v>394</v>
      </c>
    </row>
    <row r="15" spans="1:7" x14ac:dyDescent="0.25">
      <c r="A15" s="6">
        <v>14</v>
      </c>
      <c r="B15" s="6" t="s">
        <v>31</v>
      </c>
      <c r="C15" s="6" t="s">
        <v>419</v>
      </c>
      <c r="D15" s="6" t="s">
        <v>420</v>
      </c>
      <c r="E15" s="6" t="s">
        <v>23</v>
      </c>
      <c r="F15" s="6" t="s">
        <v>421</v>
      </c>
      <c r="G15" s="6" t="s">
        <v>90</v>
      </c>
    </row>
    <row r="16" spans="1:7" x14ac:dyDescent="0.25">
      <c r="A16" s="6">
        <v>15</v>
      </c>
      <c r="B16" s="6" t="s">
        <v>31</v>
      </c>
      <c r="C16" s="6" t="s">
        <v>422</v>
      </c>
      <c r="D16" s="6" t="s">
        <v>423</v>
      </c>
      <c r="E16" s="6" t="s">
        <v>23</v>
      </c>
      <c r="F16" s="6" t="s">
        <v>424</v>
      </c>
      <c r="G16" s="6" t="s">
        <v>90</v>
      </c>
    </row>
    <row r="17" spans="1:7" x14ac:dyDescent="0.25">
      <c r="A17" s="6">
        <v>16</v>
      </c>
      <c r="B17" s="6" t="s">
        <v>31</v>
      </c>
      <c r="C17" s="6" t="s">
        <v>425</v>
      </c>
      <c r="D17" s="6" t="s">
        <v>426</v>
      </c>
      <c r="E17" s="6" t="s">
        <v>414</v>
      </c>
      <c r="F17" s="6" t="s">
        <v>427</v>
      </c>
      <c r="G17" s="6" t="s">
        <v>394</v>
      </c>
    </row>
    <row r="18" spans="1:7" x14ac:dyDescent="0.25">
      <c r="A18" s="6">
        <v>17</v>
      </c>
      <c r="B18" s="6" t="s">
        <v>31</v>
      </c>
      <c r="C18" s="6" t="s">
        <v>428</v>
      </c>
      <c r="D18" s="6" t="s">
        <v>429</v>
      </c>
      <c r="E18" s="6" t="s">
        <v>376</v>
      </c>
      <c r="F18" s="6" t="s">
        <v>430</v>
      </c>
      <c r="G18" s="6" t="s">
        <v>411</v>
      </c>
    </row>
    <row r="19" spans="1:7" x14ac:dyDescent="0.25">
      <c r="A19" s="6">
        <v>18</v>
      </c>
      <c r="B19" s="6" t="s">
        <v>31</v>
      </c>
      <c r="C19" s="6" t="s">
        <v>431</v>
      </c>
      <c r="D19" s="6" t="s">
        <v>432</v>
      </c>
      <c r="E19" s="6" t="s">
        <v>376</v>
      </c>
      <c r="F19" s="6" t="s">
        <v>433</v>
      </c>
      <c r="G19" s="6" t="s">
        <v>411</v>
      </c>
    </row>
    <row r="20" spans="1:7" x14ac:dyDescent="0.25">
      <c r="A20" s="6">
        <v>19</v>
      </c>
      <c r="B20" s="6" t="s">
        <v>31</v>
      </c>
      <c r="C20" s="6" t="s">
        <v>422</v>
      </c>
      <c r="D20" s="6" t="s">
        <v>434</v>
      </c>
      <c r="E20" s="6" t="s">
        <v>23</v>
      </c>
      <c r="F20" s="6" t="s">
        <v>435</v>
      </c>
      <c r="G20" s="6" t="s">
        <v>90</v>
      </c>
    </row>
    <row r="21" spans="1:7" x14ac:dyDescent="0.25">
      <c r="A21" s="6">
        <v>20</v>
      </c>
      <c r="B21" s="6" t="s">
        <v>31</v>
      </c>
      <c r="C21" s="6" t="s">
        <v>436</v>
      </c>
      <c r="D21" s="6" t="s">
        <v>437</v>
      </c>
      <c r="E21" s="6" t="s">
        <v>376</v>
      </c>
      <c r="F21" s="6" t="s">
        <v>438</v>
      </c>
      <c r="G21" s="6" t="s">
        <v>394</v>
      </c>
    </row>
    <row r="22" spans="1:7" x14ac:dyDescent="0.25">
      <c r="A22" s="6">
        <v>21</v>
      </c>
      <c r="B22" s="6" t="s">
        <v>31</v>
      </c>
      <c r="C22" s="6" t="s">
        <v>422</v>
      </c>
      <c r="D22" s="6" t="s">
        <v>439</v>
      </c>
      <c r="E22" s="6" t="s">
        <v>23</v>
      </c>
      <c r="F22" s="6" t="s">
        <v>440</v>
      </c>
      <c r="G22" s="6" t="s">
        <v>90</v>
      </c>
    </row>
    <row r="23" spans="1:7" x14ac:dyDescent="0.25">
      <c r="A23" s="6">
        <v>22</v>
      </c>
      <c r="B23" s="6" t="s">
        <v>31</v>
      </c>
      <c r="C23" s="6" t="s">
        <v>441</v>
      </c>
      <c r="D23" s="6" t="s">
        <v>442</v>
      </c>
      <c r="E23" s="6" t="s">
        <v>376</v>
      </c>
      <c r="F23" s="6" t="s">
        <v>443</v>
      </c>
      <c r="G23" s="6" t="s">
        <v>394</v>
      </c>
    </row>
    <row r="24" spans="1:7" x14ac:dyDescent="0.25">
      <c r="A24" s="6">
        <v>23</v>
      </c>
      <c r="B24" s="6" t="s">
        <v>31</v>
      </c>
      <c r="C24" s="6" t="s">
        <v>444</v>
      </c>
      <c r="D24" s="6" t="s">
        <v>445</v>
      </c>
      <c r="E24" s="6" t="s">
        <v>414</v>
      </c>
      <c r="F24" s="6" t="s">
        <v>446</v>
      </c>
      <c r="G24" s="6" t="s">
        <v>394</v>
      </c>
    </row>
    <row r="25" spans="1:7" x14ac:dyDescent="0.25">
      <c r="A25" s="6">
        <v>24</v>
      </c>
      <c r="B25" s="6" t="s">
        <v>31</v>
      </c>
      <c r="C25" s="6" t="s">
        <v>447</v>
      </c>
      <c r="D25" s="6" t="s">
        <v>448</v>
      </c>
      <c r="E25" s="6" t="s">
        <v>23</v>
      </c>
      <c r="F25" s="6" t="s">
        <v>449</v>
      </c>
      <c r="G25" s="6" t="s">
        <v>90</v>
      </c>
    </row>
    <row r="26" spans="1:7" x14ac:dyDescent="0.25">
      <c r="A26" s="6">
        <v>25</v>
      </c>
      <c r="B26" s="6" t="s">
        <v>31</v>
      </c>
      <c r="C26" s="6" t="s">
        <v>450</v>
      </c>
      <c r="D26" s="6" t="s">
        <v>451</v>
      </c>
      <c r="E26" s="6" t="s">
        <v>23</v>
      </c>
      <c r="F26" s="6" t="s">
        <v>452</v>
      </c>
      <c r="G26" s="6" t="s">
        <v>90</v>
      </c>
    </row>
    <row r="27" spans="1:7" x14ac:dyDescent="0.25">
      <c r="A27" s="6">
        <v>26</v>
      </c>
      <c r="B27" s="6" t="s">
        <v>31</v>
      </c>
      <c r="C27" s="6" t="s">
        <v>453</v>
      </c>
      <c r="D27" s="6" t="s">
        <v>454</v>
      </c>
      <c r="E27" s="6" t="s">
        <v>23</v>
      </c>
      <c r="F27" s="6" t="s">
        <v>455</v>
      </c>
      <c r="G27" s="6" t="s">
        <v>90</v>
      </c>
    </row>
    <row r="28" spans="1:7" x14ac:dyDescent="0.25">
      <c r="A28" s="6">
        <v>27</v>
      </c>
      <c r="B28" s="6" t="s">
        <v>31</v>
      </c>
      <c r="C28" s="6" t="s">
        <v>456</v>
      </c>
      <c r="D28" s="6" t="s">
        <v>457</v>
      </c>
      <c r="E28" s="6" t="s">
        <v>376</v>
      </c>
      <c r="F28" s="6" t="s">
        <v>458</v>
      </c>
      <c r="G28" s="6" t="s">
        <v>394</v>
      </c>
    </row>
    <row r="29" spans="1:7" x14ac:dyDescent="0.25">
      <c r="A29" s="6">
        <v>28</v>
      </c>
      <c r="B29" s="6" t="s">
        <v>31</v>
      </c>
      <c r="C29" s="6" t="s">
        <v>459</v>
      </c>
      <c r="D29" s="6" t="s">
        <v>460</v>
      </c>
      <c r="E29" s="6" t="s">
        <v>23</v>
      </c>
      <c r="F29" s="6" t="s">
        <v>461</v>
      </c>
      <c r="G29" s="6" t="s">
        <v>90</v>
      </c>
    </row>
    <row r="30" spans="1:7" x14ac:dyDescent="0.25">
      <c r="A30" s="6">
        <v>29</v>
      </c>
      <c r="B30" s="6" t="s">
        <v>31</v>
      </c>
      <c r="C30" s="6" t="s">
        <v>462</v>
      </c>
      <c r="D30" s="6" t="s">
        <v>463</v>
      </c>
      <c r="E30" s="6" t="s">
        <v>23</v>
      </c>
      <c r="F30" s="6" t="s">
        <v>464</v>
      </c>
      <c r="G30" s="6" t="s">
        <v>90</v>
      </c>
    </row>
    <row r="31" spans="1:7" x14ac:dyDescent="0.25">
      <c r="A31" s="6">
        <v>30</v>
      </c>
      <c r="B31" s="6" t="s">
        <v>31</v>
      </c>
      <c r="C31" s="6" t="s">
        <v>465</v>
      </c>
      <c r="D31" s="6" t="s">
        <v>466</v>
      </c>
      <c r="E31" s="6" t="s">
        <v>23</v>
      </c>
      <c r="F31" s="6" t="s">
        <v>467</v>
      </c>
      <c r="G31" s="6" t="s">
        <v>90</v>
      </c>
    </row>
    <row r="32" spans="1:7" x14ac:dyDescent="0.25">
      <c r="A32" s="6">
        <v>31</v>
      </c>
      <c r="B32" s="6" t="s">
        <v>31</v>
      </c>
      <c r="C32" s="6" t="s">
        <v>468</v>
      </c>
      <c r="D32" s="6" t="s">
        <v>469</v>
      </c>
      <c r="E32" s="6" t="s">
        <v>23</v>
      </c>
      <c r="F32" s="6" t="s">
        <v>470</v>
      </c>
      <c r="G32" s="6" t="s">
        <v>90</v>
      </c>
    </row>
    <row r="33" spans="1:7" x14ac:dyDescent="0.25">
      <c r="A33" s="6">
        <v>32</v>
      </c>
      <c r="B33" s="6" t="s">
        <v>31</v>
      </c>
      <c r="C33" s="6" t="s">
        <v>471</v>
      </c>
      <c r="D33" s="6" t="s">
        <v>472</v>
      </c>
      <c r="E33" s="6" t="s">
        <v>414</v>
      </c>
      <c r="F33" s="6" t="s">
        <v>473</v>
      </c>
      <c r="G33" s="6" t="s">
        <v>394</v>
      </c>
    </row>
    <row r="34" spans="1:7" x14ac:dyDescent="0.25">
      <c r="A34" s="6">
        <v>33</v>
      </c>
      <c r="B34" s="6" t="s">
        <v>31</v>
      </c>
      <c r="C34" s="6" t="s">
        <v>474</v>
      </c>
      <c r="D34" s="6" t="s">
        <v>475</v>
      </c>
      <c r="E34" s="6" t="s">
        <v>22</v>
      </c>
      <c r="F34" s="6" t="s">
        <v>476</v>
      </c>
      <c r="G34" s="6" t="s">
        <v>90</v>
      </c>
    </row>
    <row r="35" spans="1:7" x14ac:dyDescent="0.25">
      <c r="A35" s="6">
        <v>34</v>
      </c>
      <c r="B35" s="6" t="s">
        <v>31</v>
      </c>
      <c r="C35" s="6" t="s">
        <v>477</v>
      </c>
      <c r="D35" s="6" t="s">
        <v>478</v>
      </c>
      <c r="E35" s="6" t="s">
        <v>24</v>
      </c>
      <c r="F35" s="6" t="s">
        <v>479</v>
      </c>
      <c r="G35" s="6" t="s">
        <v>394</v>
      </c>
    </row>
    <row r="36" spans="1:7" x14ac:dyDescent="0.25">
      <c r="A36" s="6">
        <v>35</v>
      </c>
      <c r="B36" s="6" t="s">
        <v>31</v>
      </c>
      <c r="C36" s="6" t="s">
        <v>480</v>
      </c>
      <c r="D36" s="6" t="s">
        <v>481</v>
      </c>
      <c r="E36" s="6" t="s">
        <v>25</v>
      </c>
      <c r="F36" s="6" t="s">
        <v>482</v>
      </c>
      <c r="G36" s="6" t="s">
        <v>90</v>
      </c>
    </row>
    <row r="37" spans="1:7" x14ac:dyDescent="0.25">
      <c r="A37" s="6">
        <v>36</v>
      </c>
      <c r="B37" s="6" t="s">
        <v>31</v>
      </c>
      <c r="C37" s="6" t="s">
        <v>483</v>
      </c>
      <c r="D37" s="6" t="s">
        <v>484</v>
      </c>
      <c r="E37" s="6" t="s">
        <v>23</v>
      </c>
      <c r="F37" s="6" t="s">
        <v>485</v>
      </c>
      <c r="G37" s="6" t="s">
        <v>90</v>
      </c>
    </row>
    <row r="38" spans="1:7" x14ac:dyDescent="0.25">
      <c r="A38" s="6">
        <v>37</v>
      </c>
      <c r="B38" s="6" t="s">
        <v>31</v>
      </c>
      <c r="C38" s="6" t="s">
        <v>486</v>
      </c>
      <c r="D38" s="6" t="s">
        <v>487</v>
      </c>
      <c r="E38" s="6" t="s">
        <v>376</v>
      </c>
      <c r="F38" s="6" t="s">
        <v>488</v>
      </c>
      <c r="G38" s="6" t="s">
        <v>394</v>
      </c>
    </row>
    <row r="39" spans="1:7" x14ac:dyDescent="0.25">
      <c r="A39" s="6">
        <v>38</v>
      </c>
      <c r="B39" s="6" t="s">
        <v>31</v>
      </c>
      <c r="C39" s="6" t="s">
        <v>489</v>
      </c>
      <c r="D39" s="6" t="s">
        <v>490</v>
      </c>
      <c r="E39" s="6" t="s">
        <v>24</v>
      </c>
      <c r="F39" s="6" t="s">
        <v>491</v>
      </c>
      <c r="G39" s="6" t="s">
        <v>394</v>
      </c>
    </row>
    <row r="40" spans="1:7" x14ac:dyDescent="0.25">
      <c r="A40" s="6">
        <v>39</v>
      </c>
      <c r="B40" s="6" t="s">
        <v>31</v>
      </c>
      <c r="C40" s="6" t="s">
        <v>492</v>
      </c>
      <c r="D40" s="6" t="s">
        <v>493</v>
      </c>
      <c r="E40" s="6" t="s">
        <v>494</v>
      </c>
      <c r="F40" s="6" t="s">
        <v>495</v>
      </c>
      <c r="G40" s="6" t="s">
        <v>90</v>
      </c>
    </row>
    <row r="41" spans="1:7" x14ac:dyDescent="0.25">
      <c r="A41" s="6">
        <v>40</v>
      </c>
      <c r="B41" s="6" t="s">
        <v>31</v>
      </c>
      <c r="C41" s="6" t="s">
        <v>496</v>
      </c>
      <c r="D41" s="6" t="s">
        <v>497</v>
      </c>
      <c r="E41" s="6" t="s">
        <v>498</v>
      </c>
      <c r="F41" s="6" t="s">
        <v>499</v>
      </c>
      <c r="G41" s="6" t="s">
        <v>90</v>
      </c>
    </row>
    <row r="42" spans="1:7" x14ac:dyDescent="0.25">
      <c r="A42" s="6">
        <v>41</v>
      </c>
      <c r="B42" s="6" t="s">
        <v>31</v>
      </c>
      <c r="C42" s="6" t="s">
        <v>500</v>
      </c>
      <c r="D42" s="6" t="s">
        <v>501</v>
      </c>
      <c r="E42" s="6" t="s">
        <v>376</v>
      </c>
      <c r="F42" s="6" t="s">
        <v>502</v>
      </c>
      <c r="G42" s="6" t="s">
        <v>394</v>
      </c>
    </row>
    <row r="43" spans="1:7" x14ac:dyDescent="0.25">
      <c r="A43" s="6">
        <v>42</v>
      </c>
      <c r="B43" s="6" t="s">
        <v>31</v>
      </c>
      <c r="C43" s="6" t="s">
        <v>503</v>
      </c>
      <c r="D43" s="6" t="s">
        <v>504</v>
      </c>
      <c r="E43" s="6" t="s">
        <v>376</v>
      </c>
      <c r="F43" s="6" t="s">
        <v>505</v>
      </c>
      <c r="G43" s="6" t="s">
        <v>506</v>
      </c>
    </row>
    <row r="44" spans="1:7" x14ac:dyDescent="0.25">
      <c r="A44" s="6">
        <v>43</v>
      </c>
      <c r="B44" s="6" t="s">
        <v>31</v>
      </c>
      <c r="C44" s="6" t="s">
        <v>507</v>
      </c>
      <c r="D44" s="6" t="s">
        <v>508</v>
      </c>
      <c r="E44" s="6" t="s">
        <v>24</v>
      </c>
      <c r="F44" s="6" t="s">
        <v>509</v>
      </c>
      <c r="G44" s="6" t="s">
        <v>510</v>
      </c>
    </row>
    <row r="45" spans="1:7" x14ac:dyDescent="0.25">
      <c r="A45" s="6">
        <v>44</v>
      </c>
      <c r="B45" s="6" t="s">
        <v>31</v>
      </c>
      <c r="C45" s="6" t="s">
        <v>511</v>
      </c>
      <c r="D45" s="6" t="s">
        <v>512</v>
      </c>
      <c r="E45" s="6" t="s">
        <v>24</v>
      </c>
      <c r="F45" s="6" t="s">
        <v>513</v>
      </c>
      <c r="G45" s="6" t="s">
        <v>514</v>
      </c>
    </row>
    <row r="46" spans="1:7" x14ac:dyDescent="0.25">
      <c r="A46" s="6">
        <v>45</v>
      </c>
      <c r="B46" s="6" t="s">
        <v>31</v>
      </c>
      <c r="C46" s="6" t="s">
        <v>515</v>
      </c>
      <c r="D46" s="6" t="s">
        <v>516</v>
      </c>
      <c r="E46" s="6" t="s">
        <v>23</v>
      </c>
      <c r="F46" s="6" t="s">
        <v>517</v>
      </c>
      <c r="G46" s="6" t="s">
        <v>90</v>
      </c>
    </row>
    <row r="47" spans="1:7" x14ac:dyDescent="0.25">
      <c r="A47" s="6">
        <v>46</v>
      </c>
      <c r="B47" s="6" t="s">
        <v>31</v>
      </c>
      <c r="C47" s="6" t="s">
        <v>518</v>
      </c>
      <c r="D47" s="6" t="s">
        <v>519</v>
      </c>
      <c r="E47" s="6" t="s">
        <v>24</v>
      </c>
      <c r="F47" s="6" t="s">
        <v>520</v>
      </c>
      <c r="G47" s="6" t="s">
        <v>394</v>
      </c>
    </row>
    <row r="48" spans="1:7" x14ac:dyDescent="0.25">
      <c r="A48" s="6">
        <v>47</v>
      </c>
      <c r="B48" s="6" t="s">
        <v>31</v>
      </c>
      <c r="C48" s="6" t="s">
        <v>521</v>
      </c>
      <c r="D48" s="6" t="s">
        <v>522</v>
      </c>
      <c r="E48" s="6" t="s">
        <v>25</v>
      </c>
      <c r="F48" s="6" t="s">
        <v>523</v>
      </c>
      <c r="G48" s="6" t="s">
        <v>90</v>
      </c>
    </row>
    <row r="49" spans="1:7" x14ac:dyDescent="0.25">
      <c r="A49" s="6">
        <v>48</v>
      </c>
      <c r="B49" s="6" t="s">
        <v>31</v>
      </c>
      <c r="C49" s="6" t="s">
        <v>524</v>
      </c>
      <c r="D49" s="6" t="s">
        <v>525</v>
      </c>
      <c r="E49" s="6" t="s">
        <v>376</v>
      </c>
      <c r="F49" s="6" t="s">
        <v>526</v>
      </c>
      <c r="G49" s="6" t="s">
        <v>527</v>
      </c>
    </row>
    <row r="50" spans="1:7" x14ac:dyDescent="0.25">
      <c r="A50" s="6">
        <v>49</v>
      </c>
      <c r="B50" s="6" t="s">
        <v>31</v>
      </c>
      <c r="C50" s="6" t="s">
        <v>528</v>
      </c>
      <c r="D50" s="6" t="s">
        <v>529</v>
      </c>
      <c r="E50" s="6" t="s">
        <v>23</v>
      </c>
      <c r="F50" s="6" t="s">
        <v>530</v>
      </c>
      <c r="G50" s="6" t="s">
        <v>90</v>
      </c>
    </row>
    <row r="51" spans="1:7" x14ac:dyDescent="0.25">
      <c r="A51" s="6">
        <v>50</v>
      </c>
      <c r="B51" s="6" t="s">
        <v>31</v>
      </c>
      <c r="C51" s="6" t="s">
        <v>531</v>
      </c>
      <c r="D51" s="6" t="s">
        <v>532</v>
      </c>
      <c r="E51" s="6" t="s">
        <v>24</v>
      </c>
      <c r="F51" s="6" t="s">
        <v>533</v>
      </c>
      <c r="G51" s="6" t="s">
        <v>534</v>
      </c>
    </row>
    <row r="52" spans="1:7" x14ac:dyDescent="0.25">
      <c r="A52" s="6">
        <v>51</v>
      </c>
      <c r="B52" s="6" t="s">
        <v>31</v>
      </c>
      <c r="C52" s="6" t="s">
        <v>535</v>
      </c>
      <c r="D52" s="6" t="s">
        <v>536</v>
      </c>
      <c r="E52" s="6" t="s">
        <v>23</v>
      </c>
      <c r="F52" s="6" t="s">
        <v>537</v>
      </c>
      <c r="G52" s="6" t="s">
        <v>90</v>
      </c>
    </row>
    <row r="53" spans="1:7" x14ac:dyDescent="0.25">
      <c r="A53" s="6">
        <v>52</v>
      </c>
      <c r="B53" s="6" t="s">
        <v>31</v>
      </c>
      <c r="C53" s="6" t="s">
        <v>538</v>
      </c>
      <c r="D53" s="6" t="s">
        <v>539</v>
      </c>
      <c r="E53" s="6" t="s">
        <v>23</v>
      </c>
      <c r="F53" s="6" t="s">
        <v>540</v>
      </c>
      <c r="G53" s="6" t="s">
        <v>90</v>
      </c>
    </row>
    <row r="54" spans="1:7" x14ac:dyDescent="0.25">
      <c r="A54" s="6">
        <v>53</v>
      </c>
      <c r="B54" s="6" t="s">
        <v>31</v>
      </c>
      <c r="C54" s="6" t="s">
        <v>541</v>
      </c>
      <c r="D54" s="6" t="s">
        <v>542</v>
      </c>
      <c r="E54" s="6" t="s">
        <v>25</v>
      </c>
      <c r="F54" s="6" t="s">
        <v>543</v>
      </c>
      <c r="G54" s="6" t="s">
        <v>90</v>
      </c>
    </row>
    <row r="55" spans="1:7" x14ac:dyDescent="0.25">
      <c r="A55" s="6">
        <v>54</v>
      </c>
      <c r="B55" s="6" t="s">
        <v>31</v>
      </c>
      <c r="C55" s="6" t="s">
        <v>544</v>
      </c>
      <c r="D55" s="6" t="s">
        <v>545</v>
      </c>
      <c r="E55" s="6" t="s">
        <v>376</v>
      </c>
      <c r="F55" s="6" t="s">
        <v>546</v>
      </c>
      <c r="G55" s="6" t="s">
        <v>547</v>
      </c>
    </row>
    <row r="56" spans="1:7" x14ac:dyDescent="0.25">
      <c r="A56" s="6">
        <v>55</v>
      </c>
      <c r="B56" s="6" t="s">
        <v>31</v>
      </c>
      <c r="C56" s="6" t="s">
        <v>548</v>
      </c>
      <c r="D56" s="6" t="s">
        <v>549</v>
      </c>
      <c r="E56" s="6" t="s">
        <v>25</v>
      </c>
      <c r="F56" s="6" t="s">
        <v>550</v>
      </c>
      <c r="G56" s="6" t="s">
        <v>90</v>
      </c>
    </row>
    <row r="57" spans="1:7" x14ac:dyDescent="0.25">
      <c r="A57" s="6">
        <v>56</v>
      </c>
      <c r="B57" s="6" t="s">
        <v>31</v>
      </c>
      <c r="C57" s="6" t="s">
        <v>551</v>
      </c>
      <c r="D57" s="6" t="s">
        <v>552</v>
      </c>
      <c r="E57" s="6" t="s">
        <v>553</v>
      </c>
      <c r="F57" s="6" t="s">
        <v>554</v>
      </c>
      <c r="G57" s="6" t="s">
        <v>90</v>
      </c>
    </row>
    <row r="58" spans="1:7" x14ac:dyDescent="0.25">
      <c r="A58" s="6">
        <v>57</v>
      </c>
      <c r="B58" s="6" t="s">
        <v>31</v>
      </c>
      <c r="C58" s="6" t="s">
        <v>555</v>
      </c>
      <c r="D58" s="6" t="s">
        <v>556</v>
      </c>
      <c r="E58" s="6" t="s">
        <v>23</v>
      </c>
      <c r="F58" s="6" t="s">
        <v>557</v>
      </c>
      <c r="G58" s="6" t="s">
        <v>90</v>
      </c>
    </row>
    <row r="59" spans="1:7" x14ac:dyDescent="0.25">
      <c r="A59" s="6">
        <v>58</v>
      </c>
      <c r="B59" s="6" t="s">
        <v>31</v>
      </c>
      <c r="C59" s="6" t="s">
        <v>558</v>
      </c>
      <c r="D59" s="6" t="s">
        <v>559</v>
      </c>
      <c r="E59" s="6" t="s">
        <v>25</v>
      </c>
      <c r="F59" s="6" t="s">
        <v>560</v>
      </c>
      <c r="G59" s="6" t="s">
        <v>90</v>
      </c>
    </row>
    <row r="60" spans="1:7" x14ac:dyDescent="0.25">
      <c r="A60" s="6">
        <v>59</v>
      </c>
      <c r="B60" s="6" t="s">
        <v>31</v>
      </c>
      <c r="C60" s="6" t="s">
        <v>561</v>
      </c>
      <c r="D60" s="6" t="s">
        <v>562</v>
      </c>
      <c r="E60" s="6" t="s">
        <v>24</v>
      </c>
      <c r="F60" s="6" t="s">
        <v>563</v>
      </c>
      <c r="G60" s="6" t="s">
        <v>564</v>
      </c>
    </row>
    <row r="61" spans="1:7" x14ac:dyDescent="0.25">
      <c r="A61" s="6">
        <v>60</v>
      </c>
      <c r="B61" s="6" t="s">
        <v>31</v>
      </c>
      <c r="C61" s="6" t="s">
        <v>565</v>
      </c>
      <c r="D61" s="6" t="s">
        <v>566</v>
      </c>
      <c r="E61" s="6" t="s">
        <v>23</v>
      </c>
      <c r="F61" s="6" t="s">
        <v>567</v>
      </c>
      <c r="G61" s="6" t="s">
        <v>90</v>
      </c>
    </row>
    <row r="62" spans="1:7" x14ac:dyDescent="0.25">
      <c r="A62" s="6">
        <v>61</v>
      </c>
      <c r="B62" s="6" t="s">
        <v>31</v>
      </c>
      <c r="C62" s="6" t="s">
        <v>568</v>
      </c>
      <c r="D62" s="6" t="s">
        <v>569</v>
      </c>
      <c r="E62" s="6" t="s">
        <v>570</v>
      </c>
      <c r="F62" s="6" t="s">
        <v>571</v>
      </c>
      <c r="G62" s="6" t="s">
        <v>572</v>
      </c>
    </row>
    <row r="63" spans="1:7" x14ac:dyDescent="0.25">
      <c r="A63" s="6">
        <v>62</v>
      </c>
      <c r="B63" s="6" t="s">
        <v>31</v>
      </c>
      <c r="C63" s="6" t="s">
        <v>573</v>
      </c>
      <c r="D63" s="6" t="s">
        <v>574</v>
      </c>
      <c r="E63" s="6" t="s">
        <v>575</v>
      </c>
      <c r="F63" s="6" t="s">
        <v>576</v>
      </c>
      <c r="G63" s="6" t="s">
        <v>90</v>
      </c>
    </row>
    <row r="64" spans="1:7" x14ac:dyDescent="0.25">
      <c r="A64" s="6">
        <v>63</v>
      </c>
      <c r="B64" s="6" t="s">
        <v>31</v>
      </c>
      <c r="C64" s="6" t="s">
        <v>577</v>
      </c>
      <c r="D64" s="6" t="s">
        <v>578</v>
      </c>
      <c r="E64" s="6" t="s">
        <v>24</v>
      </c>
      <c r="F64" s="6" t="s">
        <v>579</v>
      </c>
      <c r="G64" s="6" t="s">
        <v>580</v>
      </c>
    </row>
    <row r="65" spans="1:7" x14ac:dyDescent="0.25">
      <c r="A65" s="6">
        <v>64</v>
      </c>
      <c r="B65" s="6" t="s">
        <v>31</v>
      </c>
      <c r="C65" s="6" t="s">
        <v>581</v>
      </c>
      <c r="D65" s="6" t="s">
        <v>582</v>
      </c>
      <c r="E65" s="6" t="s">
        <v>570</v>
      </c>
      <c r="F65" s="6" t="s">
        <v>583</v>
      </c>
      <c r="G65" s="6" t="s">
        <v>584</v>
      </c>
    </row>
    <row r="66" spans="1:7" x14ac:dyDescent="0.25">
      <c r="A66" s="6">
        <v>65</v>
      </c>
      <c r="B66" s="6" t="s">
        <v>31</v>
      </c>
      <c r="C66" s="6" t="s">
        <v>585</v>
      </c>
      <c r="D66" s="6" t="s">
        <v>586</v>
      </c>
      <c r="E66" s="6" t="s">
        <v>24</v>
      </c>
      <c r="F66" s="6" t="s">
        <v>587</v>
      </c>
      <c r="G66" s="6" t="s">
        <v>588</v>
      </c>
    </row>
    <row r="67" spans="1:7" x14ac:dyDescent="0.25">
      <c r="A67" s="6">
        <v>66</v>
      </c>
      <c r="B67" s="6" t="s">
        <v>31</v>
      </c>
      <c r="C67" s="6" t="s">
        <v>589</v>
      </c>
      <c r="D67" s="6" t="s">
        <v>590</v>
      </c>
      <c r="E67" s="6" t="s">
        <v>23</v>
      </c>
      <c r="F67" s="6" t="s">
        <v>591</v>
      </c>
      <c r="G67" s="6" t="s">
        <v>90</v>
      </c>
    </row>
    <row r="68" spans="1:7" x14ac:dyDescent="0.25">
      <c r="A68" s="6">
        <v>67</v>
      </c>
      <c r="B68" s="6" t="s">
        <v>31</v>
      </c>
      <c r="C68" s="6" t="s">
        <v>592</v>
      </c>
      <c r="D68" s="6" t="s">
        <v>593</v>
      </c>
      <c r="E68" s="6" t="s">
        <v>553</v>
      </c>
      <c r="F68" s="6" t="s">
        <v>594</v>
      </c>
      <c r="G68" s="6" t="s">
        <v>90</v>
      </c>
    </row>
    <row r="69" spans="1:7" x14ac:dyDescent="0.25">
      <c r="A69" s="6">
        <v>68</v>
      </c>
      <c r="B69" s="6" t="s">
        <v>31</v>
      </c>
      <c r="C69" s="6" t="s">
        <v>595</v>
      </c>
      <c r="D69" s="6" t="s">
        <v>596</v>
      </c>
      <c r="E69" s="6" t="s">
        <v>570</v>
      </c>
      <c r="F69" s="6" t="s">
        <v>597</v>
      </c>
      <c r="G69" s="6" t="s">
        <v>598</v>
      </c>
    </row>
    <row r="70" spans="1:7" x14ac:dyDescent="0.25">
      <c r="A70" s="6">
        <v>69</v>
      </c>
      <c r="B70" s="6" t="s">
        <v>31</v>
      </c>
      <c r="C70" s="6" t="s">
        <v>599</v>
      </c>
      <c r="D70" s="6" t="s">
        <v>600</v>
      </c>
      <c r="E70" s="6" t="s">
        <v>24</v>
      </c>
      <c r="F70" s="6" t="s">
        <v>601</v>
      </c>
      <c r="G70" s="6" t="s">
        <v>602</v>
      </c>
    </row>
    <row r="71" spans="1:7" x14ac:dyDescent="0.25">
      <c r="A71" s="6">
        <v>70</v>
      </c>
      <c r="B71" s="6" t="s">
        <v>31</v>
      </c>
      <c r="C71" s="6" t="s">
        <v>603</v>
      </c>
      <c r="D71" s="6" t="s">
        <v>604</v>
      </c>
      <c r="E71" s="6" t="s">
        <v>570</v>
      </c>
      <c r="F71" s="6" t="s">
        <v>605</v>
      </c>
      <c r="G71" s="6" t="s">
        <v>606</v>
      </c>
    </row>
    <row r="72" spans="1:7" x14ac:dyDescent="0.25">
      <c r="A72" s="6">
        <v>71</v>
      </c>
      <c r="B72" s="6" t="s">
        <v>31</v>
      </c>
      <c r="C72" s="6" t="s">
        <v>607</v>
      </c>
      <c r="D72" s="6" t="s">
        <v>608</v>
      </c>
      <c r="E72" s="6" t="s">
        <v>494</v>
      </c>
      <c r="F72" s="6" t="s">
        <v>609</v>
      </c>
      <c r="G72" s="6" t="s">
        <v>90</v>
      </c>
    </row>
    <row r="73" spans="1:7" x14ac:dyDescent="0.25">
      <c r="A73" s="6">
        <v>72</v>
      </c>
      <c r="B73" s="6" t="s">
        <v>31</v>
      </c>
      <c r="C73" s="6" t="s">
        <v>610</v>
      </c>
      <c r="D73" s="6" t="s">
        <v>611</v>
      </c>
      <c r="E73" s="6" t="s">
        <v>494</v>
      </c>
      <c r="F73" s="6" t="s">
        <v>612</v>
      </c>
      <c r="G73" s="6" t="s">
        <v>90</v>
      </c>
    </row>
    <row r="74" spans="1:7" x14ac:dyDescent="0.25">
      <c r="A74" s="6">
        <v>73</v>
      </c>
      <c r="B74" s="6" t="s">
        <v>31</v>
      </c>
      <c r="C74" s="6" t="s">
        <v>613</v>
      </c>
      <c r="D74" s="6" t="s">
        <v>614</v>
      </c>
      <c r="E74" s="6" t="s">
        <v>494</v>
      </c>
      <c r="F74" s="6" t="s">
        <v>615</v>
      </c>
      <c r="G74" s="6" t="s">
        <v>90</v>
      </c>
    </row>
    <row r="75" spans="1:7" x14ac:dyDescent="0.25">
      <c r="A75" s="6">
        <v>74</v>
      </c>
      <c r="B75" s="6" t="s">
        <v>31</v>
      </c>
      <c r="C75" s="6" t="s">
        <v>616</v>
      </c>
      <c r="D75" s="6" t="s">
        <v>617</v>
      </c>
      <c r="E75" s="6" t="s">
        <v>24</v>
      </c>
      <c r="F75" s="6" t="s">
        <v>618</v>
      </c>
      <c r="G75" s="6" t="s">
        <v>619</v>
      </c>
    </row>
    <row r="76" spans="1:7" x14ac:dyDescent="0.25">
      <c r="A76" s="6">
        <v>75</v>
      </c>
      <c r="B76" s="6" t="s">
        <v>31</v>
      </c>
      <c r="C76" s="6" t="s">
        <v>620</v>
      </c>
      <c r="D76" s="6" t="s">
        <v>621</v>
      </c>
      <c r="E76" s="6" t="s">
        <v>622</v>
      </c>
      <c r="F76" s="6" t="s">
        <v>623</v>
      </c>
      <c r="G76" s="6" t="s">
        <v>624</v>
      </c>
    </row>
    <row r="77" spans="1:7" x14ac:dyDescent="0.25">
      <c r="A77" s="6">
        <v>76</v>
      </c>
      <c r="B77" s="6" t="s">
        <v>31</v>
      </c>
      <c r="C77" s="6" t="s">
        <v>625</v>
      </c>
      <c r="D77" s="6" t="s">
        <v>626</v>
      </c>
      <c r="E77" s="6" t="s">
        <v>575</v>
      </c>
      <c r="F77" s="6" t="s">
        <v>627</v>
      </c>
      <c r="G77" s="6" t="s">
        <v>90</v>
      </c>
    </row>
    <row r="78" spans="1:7" x14ac:dyDescent="0.25">
      <c r="A78" s="6">
        <v>77</v>
      </c>
      <c r="B78" s="6" t="s">
        <v>31</v>
      </c>
      <c r="C78" s="6" t="s">
        <v>628</v>
      </c>
      <c r="D78" s="6" t="s">
        <v>629</v>
      </c>
      <c r="E78" s="6" t="s">
        <v>23</v>
      </c>
      <c r="F78" s="6" t="s">
        <v>630</v>
      </c>
      <c r="G78" s="6" t="s">
        <v>90</v>
      </c>
    </row>
    <row r="79" spans="1:7" x14ac:dyDescent="0.25">
      <c r="A79" s="6">
        <v>78</v>
      </c>
      <c r="B79" s="6" t="s">
        <v>31</v>
      </c>
      <c r="C79" s="6" t="s">
        <v>631</v>
      </c>
      <c r="D79" s="6" t="s">
        <v>632</v>
      </c>
      <c r="E79" s="6" t="s">
        <v>24</v>
      </c>
      <c r="F79" s="6" t="s">
        <v>633</v>
      </c>
      <c r="G79" s="6" t="s">
        <v>619</v>
      </c>
    </row>
    <row r="80" spans="1:7" x14ac:dyDescent="0.25">
      <c r="A80" s="6">
        <v>79</v>
      </c>
      <c r="B80" s="6" t="s">
        <v>31</v>
      </c>
      <c r="C80" s="6" t="s">
        <v>634</v>
      </c>
      <c r="D80" s="6" t="s">
        <v>635</v>
      </c>
      <c r="E80" s="6" t="s">
        <v>575</v>
      </c>
      <c r="F80" s="6" t="s">
        <v>636</v>
      </c>
      <c r="G80" s="6" t="s">
        <v>90</v>
      </c>
    </row>
    <row r="81" spans="1:7" x14ac:dyDescent="0.25">
      <c r="A81" s="6">
        <v>80</v>
      </c>
      <c r="B81" s="6" t="s">
        <v>31</v>
      </c>
      <c r="C81" s="6" t="s">
        <v>637</v>
      </c>
      <c r="D81" s="6" t="s">
        <v>638</v>
      </c>
      <c r="E81" s="6" t="s">
        <v>639</v>
      </c>
      <c r="F81" s="6" t="s">
        <v>640</v>
      </c>
      <c r="G81" s="6" t="s">
        <v>641</v>
      </c>
    </row>
    <row r="82" spans="1:7" x14ac:dyDescent="0.25">
      <c r="A82" s="6">
        <v>81</v>
      </c>
      <c r="B82" s="6" t="s">
        <v>31</v>
      </c>
      <c r="C82" s="6" t="s">
        <v>642</v>
      </c>
      <c r="D82" s="6" t="s">
        <v>643</v>
      </c>
      <c r="E82" s="6" t="s">
        <v>494</v>
      </c>
      <c r="F82" s="6" t="s">
        <v>644</v>
      </c>
      <c r="G82" s="6" t="s">
        <v>90</v>
      </c>
    </row>
    <row r="83" spans="1:7" x14ac:dyDescent="0.25">
      <c r="A83" s="6">
        <v>82</v>
      </c>
      <c r="B83" s="6" t="s">
        <v>31</v>
      </c>
      <c r="C83" s="6" t="s">
        <v>645</v>
      </c>
      <c r="D83" s="6" t="s">
        <v>646</v>
      </c>
      <c r="E83" s="6" t="s">
        <v>575</v>
      </c>
      <c r="F83" s="6" t="s">
        <v>647</v>
      </c>
      <c r="G83" s="6" t="s">
        <v>90</v>
      </c>
    </row>
    <row r="84" spans="1:7" x14ac:dyDescent="0.25">
      <c r="A84" s="6">
        <v>83</v>
      </c>
      <c r="B84" s="6" t="s">
        <v>31</v>
      </c>
      <c r="C84" s="6" t="s">
        <v>648</v>
      </c>
      <c r="D84" s="6" t="s">
        <v>649</v>
      </c>
      <c r="E84" s="6" t="s">
        <v>23</v>
      </c>
      <c r="F84" s="6" t="s">
        <v>650</v>
      </c>
      <c r="G84" s="6" t="s">
        <v>90</v>
      </c>
    </row>
    <row r="85" spans="1:7" x14ac:dyDescent="0.25">
      <c r="A85" s="6">
        <v>84</v>
      </c>
      <c r="B85" s="6" t="s">
        <v>31</v>
      </c>
      <c r="C85" s="6" t="s">
        <v>651</v>
      </c>
      <c r="D85" s="6" t="s">
        <v>652</v>
      </c>
      <c r="E85" s="6" t="s">
        <v>24</v>
      </c>
      <c r="F85" s="6" t="s">
        <v>653</v>
      </c>
      <c r="G85" s="6" t="s">
        <v>654</v>
      </c>
    </row>
    <row r="86" spans="1:7" x14ac:dyDescent="0.25">
      <c r="A86" s="6">
        <v>85</v>
      </c>
      <c r="B86" s="6" t="s">
        <v>31</v>
      </c>
      <c r="C86" s="6" t="s">
        <v>655</v>
      </c>
      <c r="D86" s="6" t="s">
        <v>656</v>
      </c>
      <c r="E86" s="6" t="s">
        <v>622</v>
      </c>
      <c r="F86" s="6" t="s">
        <v>657</v>
      </c>
      <c r="G86" s="6" t="s">
        <v>658</v>
      </c>
    </row>
    <row r="87" spans="1:7" x14ac:dyDescent="0.25">
      <c r="A87" s="6">
        <v>86</v>
      </c>
      <c r="B87" s="6" t="s">
        <v>31</v>
      </c>
      <c r="C87" s="6" t="s">
        <v>659</v>
      </c>
      <c r="D87" s="6" t="s">
        <v>660</v>
      </c>
      <c r="E87" s="6" t="s">
        <v>622</v>
      </c>
      <c r="F87" s="6" t="s">
        <v>661</v>
      </c>
      <c r="G87" s="6" t="s">
        <v>662</v>
      </c>
    </row>
    <row r="88" spans="1:7" x14ac:dyDescent="0.25">
      <c r="A88" s="6">
        <v>87</v>
      </c>
      <c r="B88" s="6" t="s">
        <v>31</v>
      </c>
      <c r="C88" s="6" t="s">
        <v>663</v>
      </c>
      <c r="D88" s="6" t="s">
        <v>664</v>
      </c>
      <c r="E88" s="6" t="s">
        <v>24</v>
      </c>
      <c r="F88" s="6" t="s">
        <v>665</v>
      </c>
      <c r="G88" s="6" t="s">
        <v>666</v>
      </c>
    </row>
    <row r="89" spans="1:7" x14ac:dyDescent="0.25">
      <c r="A89" s="6">
        <v>88</v>
      </c>
      <c r="B89" s="6" t="s">
        <v>31</v>
      </c>
      <c r="C89" s="6" t="s">
        <v>667</v>
      </c>
      <c r="D89" s="6" t="s">
        <v>668</v>
      </c>
      <c r="E89" s="6" t="s">
        <v>376</v>
      </c>
      <c r="F89" s="6" t="s">
        <v>669</v>
      </c>
      <c r="G89" s="6" t="s">
        <v>670</v>
      </c>
    </row>
    <row r="90" spans="1:7" x14ac:dyDescent="0.25">
      <c r="A90" s="6">
        <v>89</v>
      </c>
      <c r="B90" s="6" t="s">
        <v>31</v>
      </c>
      <c r="C90" s="6" t="s">
        <v>671</v>
      </c>
      <c r="D90" s="6" t="s">
        <v>672</v>
      </c>
      <c r="E90" s="6" t="s">
        <v>570</v>
      </c>
      <c r="F90" s="6" t="s">
        <v>673</v>
      </c>
      <c r="G90" s="6" t="s">
        <v>674</v>
      </c>
    </row>
    <row r="91" spans="1:7" x14ac:dyDescent="0.25">
      <c r="A91" s="6">
        <v>90</v>
      </c>
      <c r="B91" s="6" t="s">
        <v>31</v>
      </c>
      <c r="C91" s="6" t="s">
        <v>675</v>
      </c>
      <c r="D91" s="6" t="s">
        <v>676</v>
      </c>
      <c r="E91" s="6" t="s">
        <v>23</v>
      </c>
      <c r="F91" s="6" t="s">
        <v>677</v>
      </c>
      <c r="G91" s="6" t="s">
        <v>90</v>
      </c>
    </row>
    <row r="92" spans="1:7" x14ac:dyDescent="0.25">
      <c r="A92" s="6">
        <v>91</v>
      </c>
      <c r="B92" s="6" t="s">
        <v>31</v>
      </c>
      <c r="C92" s="6" t="s">
        <v>678</v>
      </c>
      <c r="D92" s="6" t="s">
        <v>679</v>
      </c>
      <c r="E92" s="6" t="s">
        <v>570</v>
      </c>
      <c r="F92" s="6" t="s">
        <v>680</v>
      </c>
      <c r="G92" s="6" t="s">
        <v>641</v>
      </c>
    </row>
    <row r="93" spans="1:7" x14ac:dyDescent="0.25">
      <c r="A93" s="6">
        <v>92</v>
      </c>
      <c r="B93" s="6" t="s">
        <v>31</v>
      </c>
      <c r="C93" s="6" t="s">
        <v>681</v>
      </c>
      <c r="D93" s="6" t="s">
        <v>682</v>
      </c>
      <c r="E93" s="6" t="s">
        <v>376</v>
      </c>
      <c r="F93" s="6" t="s">
        <v>683</v>
      </c>
      <c r="G93" s="6" t="s">
        <v>641</v>
      </c>
    </row>
    <row r="94" spans="1:7" x14ac:dyDescent="0.25">
      <c r="A94" s="6">
        <v>93</v>
      </c>
      <c r="B94" s="6" t="s">
        <v>31</v>
      </c>
      <c r="C94" s="6" t="s">
        <v>684</v>
      </c>
      <c r="D94" s="6" t="s">
        <v>685</v>
      </c>
      <c r="E94" s="6" t="s">
        <v>622</v>
      </c>
      <c r="F94" s="6" t="s">
        <v>686</v>
      </c>
      <c r="G94" s="6" t="s">
        <v>687</v>
      </c>
    </row>
    <row r="95" spans="1:7" x14ac:dyDescent="0.25">
      <c r="A95" s="6">
        <v>94</v>
      </c>
      <c r="B95" s="6" t="s">
        <v>31</v>
      </c>
      <c r="C95" s="6" t="s">
        <v>688</v>
      </c>
      <c r="D95" s="6" t="s">
        <v>689</v>
      </c>
      <c r="E95" s="6" t="s">
        <v>622</v>
      </c>
      <c r="F95" s="6" t="s">
        <v>690</v>
      </c>
      <c r="G95" s="6" t="s">
        <v>691</v>
      </c>
    </row>
    <row r="96" spans="1:7" x14ac:dyDescent="0.25">
      <c r="A96" s="6">
        <v>95</v>
      </c>
      <c r="B96" s="6" t="s">
        <v>31</v>
      </c>
      <c r="C96" s="6" t="s">
        <v>692</v>
      </c>
      <c r="D96" s="6" t="s">
        <v>693</v>
      </c>
      <c r="E96" s="6" t="s">
        <v>570</v>
      </c>
      <c r="F96" s="6" t="s">
        <v>694</v>
      </c>
      <c r="G96" s="6" t="s">
        <v>687</v>
      </c>
    </row>
    <row r="97" spans="1:7" x14ac:dyDescent="0.25">
      <c r="A97" s="6">
        <v>96</v>
      </c>
      <c r="B97" s="6" t="s">
        <v>31</v>
      </c>
      <c r="C97" s="6" t="s">
        <v>695</v>
      </c>
      <c r="D97" s="6" t="s">
        <v>696</v>
      </c>
      <c r="E97" s="6" t="s">
        <v>575</v>
      </c>
      <c r="F97" s="6" t="s">
        <v>697</v>
      </c>
      <c r="G97" s="6" t="s">
        <v>90</v>
      </c>
    </row>
    <row r="98" spans="1:7" x14ac:dyDescent="0.25">
      <c r="A98" s="6">
        <v>97</v>
      </c>
      <c r="B98" s="6" t="s">
        <v>31</v>
      </c>
      <c r="C98" s="6" t="s">
        <v>698</v>
      </c>
      <c r="D98" s="6" t="s">
        <v>699</v>
      </c>
      <c r="E98" s="6" t="s">
        <v>25</v>
      </c>
      <c r="F98" s="6" t="s">
        <v>700</v>
      </c>
      <c r="G98" s="6" t="s">
        <v>90</v>
      </c>
    </row>
    <row r="99" spans="1:7" x14ac:dyDescent="0.25">
      <c r="A99" s="6">
        <v>98</v>
      </c>
      <c r="B99" s="6" t="s">
        <v>31</v>
      </c>
      <c r="C99" s="6" t="s">
        <v>701</v>
      </c>
      <c r="D99" s="6" t="s">
        <v>702</v>
      </c>
      <c r="E99" s="6" t="s">
        <v>23</v>
      </c>
      <c r="F99" s="6" t="s">
        <v>703</v>
      </c>
      <c r="G99" s="6" t="s">
        <v>90</v>
      </c>
    </row>
    <row r="100" spans="1:7" x14ac:dyDescent="0.25">
      <c r="A100" s="6">
        <v>99</v>
      </c>
      <c r="B100" s="6" t="s">
        <v>31</v>
      </c>
      <c r="C100" s="6" t="s">
        <v>704</v>
      </c>
      <c r="D100" s="6" t="s">
        <v>705</v>
      </c>
      <c r="E100" s="6" t="s">
        <v>494</v>
      </c>
      <c r="F100" s="6" t="s">
        <v>706</v>
      </c>
      <c r="G100" s="6" t="s">
        <v>90</v>
      </c>
    </row>
    <row r="101" spans="1:7" x14ac:dyDescent="0.25">
      <c r="A101" s="6">
        <v>100</v>
      </c>
      <c r="B101" s="6" t="s">
        <v>31</v>
      </c>
      <c r="C101" s="6" t="s">
        <v>707</v>
      </c>
      <c r="D101" s="6" t="s">
        <v>708</v>
      </c>
      <c r="E101" s="6" t="s">
        <v>23</v>
      </c>
      <c r="F101" s="6" t="s">
        <v>709</v>
      </c>
      <c r="G101" s="6" t="s">
        <v>90</v>
      </c>
    </row>
    <row r="102" spans="1:7" x14ac:dyDescent="0.25">
      <c r="A102" s="6">
        <v>101</v>
      </c>
      <c r="B102" s="6" t="s">
        <v>31</v>
      </c>
      <c r="C102" s="6" t="s">
        <v>710</v>
      </c>
      <c r="D102" s="6" t="s">
        <v>711</v>
      </c>
      <c r="E102" s="6" t="s">
        <v>24</v>
      </c>
      <c r="F102" s="6" t="s">
        <v>712</v>
      </c>
      <c r="G102" s="6" t="s">
        <v>606</v>
      </c>
    </row>
    <row r="103" spans="1:7" x14ac:dyDescent="0.25">
      <c r="A103" s="6">
        <v>102</v>
      </c>
      <c r="B103" s="6" t="s">
        <v>31</v>
      </c>
      <c r="C103" s="6" t="s">
        <v>713</v>
      </c>
      <c r="D103" s="6" t="s">
        <v>714</v>
      </c>
      <c r="E103" s="6" t="s">
        <v>376</v>
      </c>
      <c r="F103" s="6" t="s">
        <v>715</v>
      </c>
      <c r="G103" s="6" t="s">
        <v>716</v>
      </c>
    </row>
    <row r="104" spans="1:7" x14ac:dyDescent="0.25">
      <c r="A104" s="6">
        <v>103</v>
      </c>
      <c r="B104" s="6" t="s">
        <v>31</v>
      </c>
      <c r="C104" s="6" t="s">
        <v>717</v>
      </c>
      <c r="D104" s="6" t="s">
        <v>718</v>
      </c>
      <c r="E104" s="6" t="s">
        <v>494</v>
      </c>
      <c r="F104" s="6" t="s">
        <v>719</v>
      </c>
      <c r="G104" s="6" t="s">
        <v>90</v>
      </c>
    </row>
    <row r="105" spans="1:7" x14ac:dyDescent="0.25">
      <c r="A105" s="6">
        <v>104</v>
      </c>
      <c r="B105" s="6" t="s">
        <v>31</v>
      </c>
      <c r="C105" s="6" t="s">
        <v>720</v>
      </c>
      <c r="D105" s="6" t="s">
        <v>721</v>
      </c>
      <c r="E105" s="6" t="s">
        <v>622</v>
      </c>
      <c r="F105" s="6" t="s">
        <v>722</v>
      </c>
      <c r="G105" s="6" t="s">
        <v>723</v>
      </c>
    </row>
    <row r="106" spans="1:7" x14ac:dyDescent="0.25">
      <c r="A106" s="6">
        <v>105</v>
      </c>
      <c r="B106" s="6" t="s">
        <v>31</v>
      </c>
      <c r="C106" s="6" t="s">
        <v>724</v>
      </c>
      <c r="D106" s="6" t="s">
        <v>725</v>
      </c>
      <c r="E106" s="6" t="s">
        <v>622</v>
      </c>
      <c r="F106" s="6" t="s">
        <v>726</v>
      </c>
      <c r="G106" s="6" t="s">
        <v>619</v>
      </c>
    </row>
    <row r="107" spans="1:7" x14ac:dyDescent="0.25">
      <c r="A107" s="6">
        <v>106</v>
      </c>
      <c r="B107" s="6" t="s">
        <v>31</v>
      </c>
      <c r="C107" s="6" t="s">
        <v>727</v>
      </c>
      <c r="D107" s="6" t="s">
        <v>728</v>
      </c>
      <c r="E107" s="6" t="s">
        <v>376</v>
      </c>
      <c r="F107" s="6" t="s">
        <v>729</v>
      </c>
      <c r="G107" s="6" t="s">
        <v>730</v>
      </c>
    </row>
    <row r="108" spans="1:7" x14ac:dyDescent="0.25">
      <c r="A108" s="6">
        <v>107</v>
      </c>
      <c r="B108" s="6" t="s">
        <v>31</v>
      </c>
      <c r="C108" s="6" t="s">
        <v>731</v>
      </c>
      <c r="D108" s="6" t="s">
        <v>732</v>
      </c>
      <c r="E108" s="6" t="s">
        <v>622</v>
      </c>
      <c r="F108" s="6" t="s">
        <v>733</v>
      </c>
      <c r="G108" s="6" t="s">
        <v>734</v>
      </c>
    </row>
    <row r="109" spans="1:7" x14ac:dyDescent="0.25">
      <c r="A109" s="6">
        <v>108</v>
      </c>
      <c r="B109" s="6" t="s">
        <v>31</v>
      </c>
      <c r="C109" s="6" t="s">
        <v>735</v>
      </c>
      <c r="D109" s="6" t="s">
        <v>736</v>
      </c>
      <c r="E109" s="6" t="s">
        <v>494</v>
      </c>
      <c r="F109" s="6" t="s">
        <v>737</v>
      </c>
      <c r="G109" s="6" t="s">
        <v>90</v>
      </c>
    </row>
    <row r="110" spans="1:7" x14ac:dyDescent="0.25">
      <c r="A110" s="6">
        <v>109</v>
      </c>
      <c r="B110" s="6" t="s">
        <v>31</v>
      </c>
      <c r="C110" s="6" t="s">
        <v>738</v>
      </c>
      <c r="D110" s="6" t="s">
        <v>739</v>
      </c>
      <c r="E110" s="6" t="s">
        <v>570</v>
      </c>
      <c r="F110" s="6" t="s">
        <v>740</v>
      </c>
      <c r="G110" s="6" t="s">
        <v>741</v>
      </c>
    </row>
    <row r="111" spans="1:7" x14ac:dyDescent="0.25">
      <c r="A111" s="6">
        <v>110</v>
      </c>
      <c r="B111" s="6" t="s">
        <v>31</v>
      </c>
      <c r="C111" s="6" t="s">
        <v>742</v>
      </c>
      <c r="D111" s="6" t="s">
        <v>743</v>
      </c>
      <c r="E111" s="6" t="s">
        <v>22</v>
      </c>
      <c r="F111" s="6" t="s">
        <v>744</v>
      </c>
      <c r="G111" s="6" t="s">
        <v>90</v>
      </c>
    </row>
    <row r="112" spans="1:7" x14ac:dyDescent="0.25">
      <c r="A112" s="6">
        <v>111</v>
      </c>
      <c r="B112" s="6" t="s">
        <v>31</v>
      </c>
      <c r="C112" s="6" t="s">
        <v>745</v>
      </c>
      <c r="D112" s="6" t="s">
        <v>746</v>
      </c>
      <c r="E112" s="6" t="s">
        <v>575</v>
      </c>
      <c r="F112" s="6" t="s">
        <v>747</v>
      </c>
      <c r="G112" s="6" t="s">
        <v>90</v>
      </c>
    </row>
    <row r="113" spans="1:7" x14ac:dyDescent="0.25">
      <c r="A113" s="6">
        <v>112</v>
      </c>
      <c r="B113" s="6" t="s">
        <v>31</v>
      </c>
      <c r="C113" s="6" t="s">
        <v>748</v>
      </c>
      <c r="D113" s="6" t="s">
        <v>749</v>
      </c>
      <c r="E113" s="6" t="s">
        <v>24</v>
      </c>
      <c r="F113" s="6" t="s">
        <v>750</v>
      </c>
      <c r="G113" s="6" t="s">
        <v>619</v>
      </c>
    </row>
    <row r="114" spans="1:7" x14ac:dyDescent="0.25">
      <c r="A114" s="6">
        <v>113</v>
      </c>
      <c r="B114" s="6" t="s">
        <v>31</v>
      </c>
      <c r="C114" s="6" t="s">
        <v>751</v>
      </c>
      <c r="D114" s="6" t="s">
        <v>752</v>
      </c>
      <c r="E114" s="6" t="s">
        <v>570</v>
      </c>
      <c r="F114" s="6" t="s">
        <v>753</v>
      </c>
      <c r="G114" s="6" t="s">
        <v>754</v>
      </c>
    </row>
    <row r="115" spans="1:7" x14ac:dyDescent="0.25">
      <c r="A115" s="6">
        <v>114</v>
      </c>
      <c r="B115" s="6" t="s">
        <v>31</v>
      </c>
      <c r="C115" s="6" t="s">
        <v>755</v>
      </c>
      <c r="D115" s="6" t="s">
        <v>756</v>
      </c>
      <c r="E115" s="6" t="s">
        <v>570</v>
      </c>
      <c r="F115" s="6" t="s">
        <v>757</v>
      </c>
      <c r="G115" s="6" t="s">
        <v>758</v>
      </c>
    </row>
    <row r="116" spans="1:7" x14ac:dyDescent="0.25">
      <c r="A116" s="6">
        <v>115</v>
      </c>
      <c r="B116" s="6" t="s">
        <v>31</v>
      </c>
      <c r="C116" s="6" t="s">
        <v>759</v>
      </c>
      <c r="D116" s="6" t="s">
        <v>760</v>
      </c>
      <c r="E116" s="6" t="s">
        <v>23</v>
      </c>
      <c r="F116" s="6" t="s">
        <v>761</v>
      </c>
      <c r="G116" s="6" t="s">
        <v>90</v>
      </c>
    </row>
    <row r="117" spans="1:7" x14ac:dyDescent="0.25">
      <c r="A117" s="6">
        <v>116</v>
      </c>
      <c r="B117" s="6" t="s">
        <v>31</v>
      </c>
      <c r="C117" s="6" t="s">
        <v>762</v>
      </c>
      <c r="D117" s="6" t="s">
        <v>763</v>
      </c>
      <c r="E117" s="6" t="s">
        <v>575</v>
      </c>
      <c r="F117" s="6" t="s">
        <v>764</v>
      </c>
      <c r="G117" s="6" t="s">
        <v>90</v>
      </c>
    </row>
    <row r="118" spans="1:7" x14ac:dyDescent="0.25">
      <c r="A118" s="6">
        <v>117</v>
      </c>
      <c r="B118" s="6" t="s">
        <v>31</v>
      </c>
      <c r="C118" s="6" t="s">
        <v>765</v>
      </c>
      <c r="D118" s="6" t="s">
        <v>766</v>
      </c>
      <c r="E118" s="6" t="s">
        <v>575</v>
      </c>
      <c r="F118" s="6" t="s">
        <v>767</v>
      </c>
      <c r="G118" s="6" t="s">
        <v>90</v>
      </c>
    </row>
    <row r="119" spans="1:7" x14ac:dyDescent="0.25">
      <c r="A119" s="6">
        <v>118</v>
      </c>
      <c r="B119" s="6" t="s">
        <v>31</v>
      </c>
      <c r="C119" s="6" t="s">
        <v>768</v>
      </c>
      <c r="D119" s="6" t="s">
        <v>769</v>
      </c>
      <c r="E119" s="6" t="s">
        <v>24</v>
      </c>
      <c r="F119" s="6" t="s">
        <v>770</v>
      </c>
      <c r="G119" s="6" t="s">
        <v>771</v>
      </c>
    </row>
    <row r="120" spans="1:7" x14ac:dyDescent="0.25">
      <c r="A120" s="6">
        <v>119</v>
      </c>
      <c r="B120" s="6" t="s">
        <v>31</v>
      </c>
      <c r="C120" s="6" t="s">
        <v>772</v>
      </c>
      <c r="D120" s="6" t="s">
        <v>773</v>
      </c>
      <c r="E120" s="6" t="s">
        <v>24</v>
      </c>
      <c r="F120" s="6" t="s">
        <v>774</v>
      </c>
      <c r="G120" s="6" t="s">
        <v>775</v>
      </c>
    </row>
    <row r="121" spans="1:7" x14ac:dyDescent="0.25">
      <c r="A121" s="6">
        <v>120</v>
      </c>
      <c r="B121" s="6" t="s">
        <v>31</v>
      </c>
      <c r="C121" s="6" t="s">
        <v>776</v>
      </c>
      <c r="D121" s="6" t="s">
        <v>777</v>
      </c>
      <c r="E121" s="6" t="s">
        <v>376</v>
      </c>
      <c r="F121" s="6" t="s">
        <v>778</v>
      </c>
      <c r="G121" s="6" t="s">
        <v>779</v>
      </c>
    </row>
    <row r="122" spans="1:7" x14ac:dyDescent="0.25">
      <c r="A122" s="6">
        <v>121</v>
      </c>
      <c r="B122" s="6" t="s">
        <v>31</v>
      </c>
      <c r="C122" s="6" t="s">
        <v>780</v>
      </c>
      <c r="D122" s="6" t="s">
        <v>781</v>
      </c>
      <c r="E122" s="6" t="s">
        <v>23</v>
      </c>
      <c r="F122" s="6" t="s">
        <v>782</v>
      </c>
      <c r="G122" s="6" t="s">
        <v>90</v>
      </c>
    </row>
    <row r="123" spans="1:7" x14ac:dyDescent="0.25">
      <c r="A123" s="6">
        <v>122</v>
      </c>
      <c r="B123" s="6" t="s">
        <v>31</v>
      </c>
      <c r="C123" s="6" t="s">
        <v>783</v>
      </c>
      <c r="D123" s="6" t="s">
        <v>784</v>
      </c>
      <c r="E123" s="6" t="s">
        <v>24</v>
      </c>
      <c r="F123" s="6" t="s">
        <v>785</v>
      </c>
      <c r="G123" s="6" t="s">
        <v>786</v>
      </c>
    </row>
    <row r="124" spans="1:7" x14ac:dyDescent="0.25">
      <c r="A124" s="6">
        <v>123</v>
      </c>
      <c r="B124" s="6" t="s">
        <v>31</v>
      </c>
      <c r="C124" s="6" t="s">
        <v>787</v>
      </c>
      <c r="D124" s="6" t="s">
        <v>788</v>
      </c>
      <c r="E124" s="6" t="s">
        <v>24</v>
      </c>
      <c r="F124" s="6" t="s">
        <v>789</v>
      </c>
      <c r="G124" s="6" t="s">
        <v>790</v>
      </c>
    </row>
    <row r="125" spans="1:7" x14ac:dyDescent="0.25">
      <c r="A125" s="6">
        <v>124</v>
      </c>
      <c r="B125" s="6" t="s">
        <v>31</v>
      </c>
      <c r="C125" s="6" t="s">
        <v>791</v>
      </c>
      <c r="D125" s="6" t="s">
        <v>792</v>
      </c>
      <c r="E125" s="6" t="s">
        <v>570</v>
      </c>
      <c r="F125" s="6" t="s">
        <v>793</v>
      </c>
      <c r="G125" s="6" t="s">
        <v>794</v>
      </c>
    </row>
    <row r="126" spans="1:7" x14ac:dyDescent="0.25">
      <c r="A126" s="6">
        <v>125</v>
      </c>
      <c r="B126" s="6" t="s">
        <v>31</v>
      </c>
      <c r="C126" s="6" t="s">
        <v>795</v>
      </c>
      <c r="D126" s="6" t="s">
        <v>796</v>
      </c>
      <c r="E126" s="6" t="s">
        <v>622</v>
      </c>
      <c r="F126" s="6" t="s">
        <v>797</v>
      </c>
      <c r="G126" s="6" t="s">
        <v>798</v>
      </c>
    </row>
    <row r="127" spans="1:7" x14ac:dyDescent="0.25">
      <c r="A127" s="6">
        <v>126</v>
      </c>
      <c r="B127" s="6" t="s">
        <v>31</v>
      </c>
      <c r="C127" s="6" t="s">
        <v>799</v>
      </c>
      <c r="D127" s="6" t="s">
        <v>800</v>
      </c>
      <c r="E127" s="6" t="s">
        <v>24</v>
      </c>
      <c r="F127" s="6" t="s">
        <v>801</v>
      </c>
      <c r="G127" s="6" t="s">
        <v>802</v>
      </c>
    </row>
    <row r="128" spans="1:7" x14ac:dyDescent="0.25">
      <c r="A128" s="6">
        <v>127</v>
      </c>
      <c r="B128" s="6" t="s">
        <v>31</v>
      </c>
      <c r="C128" s="6" t="s">
        <v>803</v>
      </c>
      <c r="D128" s="6" t="s">
        <v>804</v>
      </c>
      <c r="E128" s="6" t="s">
        <v>24</v>
      </c>
      <c r="F128" s="6" t="s">
        <v>805</v>
      </c>
      <c r="G128" s="6" t="s">
        <v>806</v>
      </c>
    </row>
    <row r="129" spans="1:7" x14ac:dyDescent="0.25">
      <c r="A129" s="6">
        <v>128</v>
      </c>
      <c r="B129" s="6" t="s">
        <v>31</v>
      </c>
      <c r="C129" s="6" t="s">
        <v>807</v>
      </c>
      <c r="D129" s="6" t="s">
        <v>808</v>
      </c>
      <c r="E129" s="6" t="s">
        <v>414</v>
      </c>
      <c r="F129" s="6" t="s">
        <v>809</v>
      </c>
      <c r="G129" s="6" t="s">
        <v>641</v>
      </c>
    </row>
    <row r="130" spans="1:7" x14ac:dyDescent="0.25">
      <c r="A130" s="6">
        <v>129</v>
      </c>
      <c r="B130" s="6" t="s">
        <v>31</v>
      </c>
      <c r="C130" s="6" t="s">
        <v>810</v>
      </c>
      <c r="D130" s="6" t="s">
        <v>811</v>
      </c>
      <c r="E130" s="6" t="s">
        <v>553</v>
      </c>
      <c r="F130" s="6" t="s">
        <v>812</v>
      </c>
      <c r="G130" s="6" t="s">
        <v>90</v>
      </c>
    </row>
    <row r="131" spans="1:7" x14ac:dyDescent="0.25">
      <c r="A131" s="6">
        <v>130</v>
      </c>
      <c r="B131" s="6" t="s">
        <v>31</v>
      </c>
      <c r="C131" s="6" t="s">
        <v>813</v>
      </c>
      <c r="D131" s="6" t="s">
        <v>814</v>
      </c>
      <c r="E131" s="6" t="s">
        <v>570</v>
      </c>
      <c r="F131" s="6" t="s">
        <v>815</v>
      </c>
      <c r="G131" s="6" t="s">
        <v>816</v>
      </c>
    </row>
    <row r="132" spans="1:7" x14ac:dyDescent="0.25">
      <c r="A132" s="6">
        <v>131</v>
      </c>
      <c r="B132" s="6" t="s">
        <v>31</v>
      </c>
      <c r="C132" s="6" t="s">
        <v>817</v>
      </c>
      <c r="D132" s="6" t="s">
        <v>818</v>
      </c>
      <c r="E132" s="6" t="s">
        <v>575</v>
      </c>
      <c r="F132" s="6" t="s">
        <v>819</v>
      </c>
      <c r="G132" s="6" t="s">
        <v>90</v>
      </c>
    </row>
    <row r="133" spans="1:7" x14ac:dyDescent="0.25">
      <c r="A133" s="6">
        <v>132</v>
      </c>
      <c r="B133" s="6" t="s">
        <v>31</v>
      </c>
      <c r="C133" s="6" t="s">
        <v>820</v>
      </c>
      <c r="D133" s="6" t="s">
        <v>821</v>
      </c>
      <c r="E133" s="6" t="s">
        <v>376</v>
      </c>
      <c r="F133" s="6" t="s">
        <v>822</v>
      </c>
      <c r="G133" s="6" t="s">
        <v>823</v>
      </c>
    </row>
    <row r="134" spans="1:7" x14ac:dyDescent="0.25">
      <c r="A134" s="6">
        <v>133</v>
      </c>
      <c r="B134" s="6" t="s">
        <v>31</v>
      </c>
      <c r="C134" s="6" t="s">
        <v>824</v>
      </c>
      <c r="D134" s="6" t="s">
        <v>825</v>
      </c>
      <c r="E134" s="6" t="s">
        <v>25</v>
      </c>
      <c r="F134" s="6" t="s">
        <v>826</v>
      </c>
      <c r="G134" s="6" t="s">
        <v>90</v>
      </c>
    </row>
    <row r="135" spans="1:7" x14ac:dyDescent="0.25">
      <c r="A135" s="6">
        <v>134</v>
      </c>
      <c r="B135" s="6" t="s">
        <v>31</v>
      </c>
      <c r="C135" s="6" t="s">
        <v>827</v>
      </c>
      <c r="D135" s="6" t="s">
        <v>828</v>
      </c>
      <c r="E135" s="6" t="s">
        <v>570</v>
      </c>
      <c r="F135" s="6" t="s">
        <v>829</v>
      </c>
      <c r="G135" s="6" t="s">
        <v>830</v>
      </c>
    </row>
    <row r="136" spans="1:7" x14ac:dyDescent="0.25">
      <c r="A136" s="6">
        <v>135</v>
      </c>
      <c r="B136" s="6" t="s">
        <v>31</v>
      </c>
      <c r="C136" s="6" t="s">
        <v>831</v>
      </c>
      <c r="D136" s="6" t="s">
        <v>832</v>
      </c>
      <c r="E136" s="6" t="s">
        <v>570</v>
      </c>
      <c r="F136" s="6" t="s">
        <v>833</v>
      </c>
      <c r="G136" s="6" t="s">
        <v>641</v>
      </c>
    </row>
    <row r="137" spans="1:7" x14ac:dyDescent="0.25">
      <c r="A137" s="6">
        <v>136</v>
      </c>
      <c r="B137" s="6" t="s">
        <v>31</v>
      </c>
      <c r="C137" s="6" t="s">
        <v>834</v>
      </c>
      <c r="D137" s="6" t="s">
        <v>835</v>
      </c>
      <c r="E137" s="6" t="s">
        <v>25</v>
      </c>
      <c r="F137" s="6" t="s">
        <v>836</v>
      </c>
      <c r="G137" s="6" t="s">
        <v>90</v>
      </c>
    </row>
    <row r="138" spans="1:7" x14ac:dyDescent="0.25">
      <c r="A138" s="6">
        <v>137</v>
      </c>
      <c r="B138" s="6" t="s">
        <v>31</v>
      </c>
      <c r="C138" s="6" t="s">
        <v>837</v>
      </c>
      <c r="D138" s="6" t="s">
        <v>838</v>
      </c>
      <c r="E138" s="6" t="s">
        <v>570</v>
      </c>
      <c r="F138" s="6" t="s">
        <v>839</v>
      </c>
      <c r="G138" s="6" t="s">
        <v>840</v>
      </c>
    </row>
    <row r="139" spans="1:7" x14ac:dyDescent="0.25">
      <c r="A139" s="6">
        <v>138</v>
      </c>
      <c r="B139" s="6" t="s">
        <v>31</v>
      </c>
      <c r="C139" s="6" t="s">
        <v>841</v>
      </c>
      <c r="D139" s="6" t="s">
        <v>842</v>
      </c>
      <c r="E139" s="6" t="s">
        <v>575</v>
      </c>
      <c r="F139" s="6" t="s">
        <v>843</v>
      </c>
      <c r="G139" s="6" t="s">
        <v>90</v>
      </c>
    </row>
    <row r="140" spans="1:7" x14ac:dyDescent="0.25">
      <c r="A140" s="6">
        <v>139</v>
      </c>
      <c r="B140" s="6" t="s">
        <v>31</v>
      </c>
      <c r="C140" s="6" t="s">
        <v>844</v>
      </c>
      <c r="D140" s="6" t="s">
        <v>845</v>
      </c>
      <c r="E140" s="6" t="s">
        <v>570</v>
      </c>
      <c r="F140" s="6" t="s">
        <v>846</v>
      </c>
      <c r="G140" s="6" t="s">
        <v>847</v>
      </c>
    </row>
    <row r="141" spans="1:7" x14ac:dyDescent="0.25">
      <c r="A141" s="6">
        <v>140</v>
      </c>
      <c r="B141" s="6" t="s">
        <v>31</v>
      </c>
      <c r="C141" s="6" t="s">
        <v>848</v>
      </c>
      <c r="D141" s="6" t="s">
        <v>849</v>
      </c>
      <c r="E141" s="6" t="s">
        <v>622</v>
      </c>
      <c r="F141" s="6" t="s">
        <v>850</v>
      </c>
      <c r="G141" s="6" t="s">
        <v>851</v>
      </c>
    </row>
    <row r="142" spans="1:7" x14ac:dyDescent="0.25">
      <c r="A142" s="6">
        <v>141</v>
      </c>
      <c r="B142" s="6" t="s">
        <v>31</v>
      </c>
      <c r="C142" s="6" t="s">
        <v>852</v>
      </c>
      <c r="D142" s="6" t="s">
        <v>853</v>
      </c>
      <c r="E142" s="6" t="s">
        <v>622</v>
      </c>
      <c r="F142" s="6" t="s">
        <v>854</v>
      </c>
      <c r="G142" s="6" t="s">
        <v>855</v>
      </c>
    </row>
    <row r="143" spans="1:7" x14ac:dyDescent="0.25">
      <c r="A143" s="6">
        <v>142</v>
      </c>
      <c r="B143" s="6" t="s">
        <v>31</v>
      </c>
      <c r="C143" s="6" t="s">
        <v>856</v>
      </c>
      <c r="D143" s="6" t="s">
        <v>857</v>
      </c>
      <c r="E143" s="6" t="s">
        <v>24</v>
      </c>
      <c r="F143" s="6" t="s">
        <v>858</v>
      </c>
      <c r="G143" s="6" t="s">
        <v>641</v>
      </c>
    </row>
    <row r="144" spans="1:7" x14ac:dyDescent="0.25">
      <c r="A144" s="6">
        <v>143</v>
      </c>
      <c r="B144" s="6" t="s">
        <v>31</v>
      </c>
      <c r="C144" s="6" t="s">
        <v>859</v>
      </c>
      <c r="D144" s="6" t="s">
        <v>860</v>
      </c>
      <c r="E144" s="6" t="s">
        <v>570</v>
      </c>
      <c r="F144" s="6" t="s">
        <v>861</v>
      </c>
      <c r="G144" s="6" t="s">
        <v>862</v>
      </c>
    </row>
    <row r="145" spans="1:7" x14ac:dyDescent="0.25">
      <c r="A145" s="6">
        <v>144</v>
      </c>
      <c r="B145" s="6" t="s">
        <v>31</v>
      </c>
      <c r="C145" s="6" t="s">
        <v>863</v>
      </c>
      <c r="D145" s="6" t="s">
        <v>864</v>
      </c>
      <c r="E145" s="6" t="s">
        <v>570</v>
      </c>
      <c r="F145" s="6" t="s">
        <v>865</v>
      </c>
      <c r="G145" s="6" t="s">
        <v>641</v>
      </c>
    </row>
    <row r="146" spans="1:7" x14ac:dyDescent="0.25">
      <c r="A146" s="6">
        <v>145</v>
      </c>
      <c r="B146" s="6" t="s">
        <v>31</v>
      </c>
      <c r="C146" s="6" t="s">
        <v>866</v>
      </c>
      <c r="D146" s="6" t="s">
        <v>867</v>
      </c>
      <c r="E146" s="6" t="s">
        <v>570</v>
      </c>
      <c r="F146" s="6" t="s">
        <v>868</v>
      </c>
      <c r="G146" s="6" t="s">
        <v>641</v>
      </c>
    </row>
    <row r="147" spans="1:7" x14ac:dyDescent="0.25">
      <c r="A147" s="6">
        <v>146</v>
      </c>
      <c r="B147" s="6" t="s">
        <v>31</v>
      </c>
      <c r="C147" s="6" t="s">
        <v>869</v>
      </c>
      <c r="D147" s="6" t="s">
        <v>870</v>
      </c>
      <c r="E147" s="6" t="s">
        <v>622</v>
      </c>
      <c r="F147" s="6" t="s">
        <v>871</v>
      </c>
      <c r="G147" s="6" t="s">
        <v>872</v>
      </c>
    </row>
    <row r="148" spans="1:7" x14ac:dyDescent="0.25">
      <c r="A148" s="6">
        <v>147</v>
      </c>
      <c r="B148" s="6" t="s">
        <v>31</v>
      </c>
      <c r="C148" s="6" t="s">
        <v>873</v>
      </c>
      <c r="D148" s="6" t="s">
        <v>874</v>
      </c>
      <c r="E148" s="6" t="s">
        <v>575</v>
      </c>
      <c r="F148" s="6" t="s">
        <v>875</v>
      </c>
      <c r="G148" s="6" t="s">
        <v>90</v>
      </c>
    </row>
    <row r="149" spans="1:7" x14ac:dyDescent="0.25">
      <c r="A149" s="6">
        <v>148</v>
      </c>
      <c r="B149" s="6" t="s">
        <v>31</v>
      </c>
      <c r="C149" s="6" t="s">
        <v>876</v>
      </c>
      <c r="D149" s="6" t="s">
        <v>877</v>
      </c>
      <c r="E149" s="6" t="s">
        <v>622</v>
      </c>
      <c r="F149" s="6" t="s">
        <v>878</v>
      </c>
      <c r="G149" s="6" t="s">
        <v>879</v>
      </c>
    </row>
    <row r="150" spans="1:7" x14ac:dyDescent="0.25">
      <c r="A150" s="6">
        <v>149</v>
      </c>
      <c r="B150" s="6" t="s">
        <v>31</v>
      </c>
      <c r="C150" s="6" t="s">
        <v>880</v>
      </c>
      <c r="D150" s="6" t="s">
        <v>881</v>
      </c>
      <c r="E150" s="6" t="s">
        <v>494</v>
      </c>
      <c r="F150" s="6" t="s">
        <v>882</v>
      </c>
      <c r="G150" s="6" t="s">
        <v>90</v>
      </c>
    </row>
    <row r="151" spans="1:7" x14ac:dyDescent="0.25">
      <c r="A151" s="6">
        <v>150</v>
      </c>
      <c r="B151" s="6" t="s">
        <v>31</v>
      </c>
      <c r="C151" s="6" t="s">
        <v>883</v>
      </c>
      <c r="D151" s="6" t="s">
        <v>884</v>
      </c>
      <c r="E151" s="6" t="s">
        <v>570</v>
      </c>
      <c r="F151" s="6" t="s">
        <v>885</v>
      </c>
      <c r="G151" s="6" t="s">
        <v>641</v>
      </c>
    </row>
    <row r="152" spans="1:7" x14ac:dyDescent="0.25">
      <c r="A152" s="6">
        <v>151</v>
      </c>
      <c r="B152" s="6" t="s">
        <v>31</v>
      </c>
      <c r="C152" s="6" t="s">
        <v>886</v>
      </c>
      <c r="D152" s="6" t="s">
        <v>887</v>
      </c>
      <c r="E152" s="6" t="s">
        <v>23</v>
      </c>
      <c r="F152" s="6" t="s">
        <v>888</v>
      </c>
      <c r="G152" s="6" t="s">
        <v>90</v>
      </c>
    </row>
    <row r="153" spans="1:7" x14ac:dyDescent="0.25">
      <c r="A153" s="6">
        <v>152</v>
      </c>
      <c r="B153" s="6" t="s">
        <v>31</v>
      </c>
      <c r="C153" s="6" t="s">
        <v>889</v>
      </c>
      <c r="D153" s="6" t="s">
        <v>890</v>
      </c>
      <c r="E153" s="6" t="s">
        <v>570</v>
      </c>
      <c r="F153" s="6" t="s">
        <v>891</v>
      </c>
      <c r="G153" s="6" t="s">
        <v>892</v>
      </c>
    </row>
    <row r="154" spans="1:7" x14ac:dyDescent="0.25">
      <c r="A154" s="6">
        <v>153</v>
      </c>
      <c r="B154" s="6" t="s">
        <v>31</v>
      </c>
      <c r="C154" s="6" t="s">
        <v>893</v>
      </c>
      <c r="D154" s="6" t="s">
        <v>894</v>
      </c>
      <c r="E154" s="6" t="s">
        <v>24</v>
      </c>
      <c r="F154" s="6" t="s">
        <v>895</v>
      </c>
      <c r="G154" s="6" t="s">
        <v>896</v>
      </c>
    </row>
    <row r="155" spans="1:7" x14ac:dyDescent="0.25">
      <c r="A155" s="6">
        <v>154</v>
      </c>
      <c r="B155" s="6" t="s">
        <v>31</v>
      </c>
      <c r="C155" s="6" t="s">
        <v>897</v>
      </c>
      <c r="D155" s="6" t="s">
        <v>898</v>
      </c>
      <c r="E155" s="6" t="s">
        <v>376</v>
      </c>
      <c r="F155" s="6" t="s">
        <v>899</v>
      </c>
      <c r="G155" s="6" t="s">
        <v>900</v>
      </c>
    </row>
    <row r="156" spans="1:7" x14ac:dyDescent="0.25">
      <c r="A156" s="6">
        <v>155</v>
      </c>
      <c r="B156" s="6" t="s">
        <v>31</v>
      </c>
      <c r="C156" s="6" t="s">
        <v>901</v>
      </c>
      <c r="D156" s="6" t="s">
        <v>902</v>
      </c>
      <c r="E156" s="6" t="s">
        <v>23</v>
      </c>
      <c r="F156" s="6" t="s">
        <v>903</v>
      </c>
      <c r="G156" s="6" t="s">
        <v>90</v>
      </c>
    </row>
    <row r="157" spans="1:7" x14ac:dyDescent="0.25">
      <c r="A157" s="6">
        <v>156</v>
      </c>
      <c r="B157" s="6" t="s">
        <v>31</v>
      </c>
      <c r="C157" s="6" t="s">
        <v>904</v>
      </c>
      <c r="D157" s="6" t="s">
        <v>905</v>
      </c>
      <c r="E157" s="6" t="s">
        <v>575</v>
      </c>
      <c r="F157" s="6" t="s">
        <v>906</v>
      </c>
      <c r="G157" s="6" t="s">
        <v>90</v>
      </c>
    </row>
    <row r="158" spans="1:7" x14ac:dyDescent="0.25">
      <c r="A158" s="6">
        <v>157</v>
      </c>
      <c r="B158" s="6" t="s">
        <v>31</v>
      </c>
      <c r="C158" s="6" t="s">
        <v>907</v>
      </c>
      <c r="D158" s="6" t="s">
        <v>908</v>
      </c>
      <c r="E158" s="6" t="s">
        <v>498</v>
      </c>
      <c r="F158" s="6" t="s">
        <v>909</v>
      </c>
      <c r="G158" s="6" t="s">
        <v>90</v>
      </c>
    </row>
    <row r="159" spans="1:7" x14ac:dyDescent="0.25">
      <c r="A159" s="6">
        <v>158</v>
      </c>
      <c r="B159" s="6" t="s">
        <v>31</v>
      </c>
      <c r="C159" s="6" t="s">
        <v>910</v>
      </c>
      <c r="D159" s="6" t="s">
        <v>911</v>
      </c>
      <c r="E159" s="6" t="s">
        <v>494</v>
      </c>
      <c r="F159" s="6" t="s">
        <v>912</v>
      </c>
      <c r="G159" s="6" t="s">
        <v>90</v>
      </c>
    </row>
    <row r="160" spans="1:7" x14ac:dyDescent="0.25">
      <c r="A160" s="6">
        <v>159</v>
      </c>
      <c r="B160" s="6" t="s">
        <v>31</v>
      </c>
      <c r="C160" s="6" t="s">
        <v>913</v>
      </c>
      <c r="D160" s="6" t="s">
        <v>914</v>
      </c>
      <c r="E160" s="6" t="s">
        <v>494</v>
      </c>
      <c r="F160" s="6" t="s">
        <v>915</v>
      </c>
      <c r="G160" s="6" t="s">
        <v>90</v>
      </c>
    </row>
    <row r="161" spans="1:7" x14ac:dyDescent="0.25">
      <c r="A161" s="6">
        <v>160</v>
      </c>
      <c r="B161" s="6" t="s">
        <v>31</v>
      </c>
      <c r="C161" s="6" t="s">
        <v>916</v>
      </c>
      <c r="D161" s="6" t="s">
        <v>917</v>
      </c>
      <c r="E161" s="6" t="s">
        <v>24</v>
      </c>
      <c r="F161" s="6" t="s">
        <v>918</v>
      </c>
      <c r="G161" s="6" t="s">
        <v>919</v>
      </c>
    </row>
    <row r="162" spans="1:7" x14ac:dyDescent="0.25">
      <c r="A162" s="6">
        <v>161</v>
      </c>
      <c r="B162" s="6" t="s">
        <v>31</v>
      </c>
      <c r="C162" s="6" t="s">
        <v>920</v>
      </c>
      <c r="D162" s="6" t="s">
        <v>921</v>
      </c>
      <c r="E162" s="6" t="s">
        <v>24</v>
      </c>
      <c r="F162" s="6" t="s">
        <v>922</v>
      </c>
      <c r="G162" s="6" t="s">
        <v>923</v>
      </c>
    </row>
    <row r="163" spans="1:7" x14ac:dyDescent="0.25">
      <c r="A163" s="6">
        <v>162</v>
      </c>
      <c r="B163" s="6" t="s">
        <v>31</v>
      </c>
      <c r="C163" s="6" t="s">
        <v>924</v>
      </c>
      <c r="D163" s="6" t="s">
        <v>925</v>
      </c>
      <c r="E163" s="6" t="s">
        <v>570</v>
      </c>
      <c r="F163" s="6" t="s">
        <v>926</v>
      </c>
      <c r="G163" s="6" t="s">
        <v>927</v>
      </c>
    </row>
    <row r="164" spans="1:7" x14ac:dyDescent="0.25">
      <c r="A164" s="6">
        <v>163</v>
      </c>
      <c r="B164" s="6" t="s">
        <v>31</v>
      </c>
      <c r="C164" s="6" t="s">
        <v>928</v>
      </c>
      <c r="D164" s="6" t="s">
        <v>929</v>
      </c>
      <c r="E164" s="6" t="s">
        <v>24</v>
      </c>
      <c r="F164" s="6" t="s">
        <v>930</v>
      </c>
      <c r="G164" s="6" t="s">
        <v>931</v>
      </c>
    </row>
    <row r="165" spans="1:7" x14ac:dyDescent="0.25">
      <c r="A165" s="6">
        <v>164</v>
      </c>
      <c r="B165" s="6" t="s">
        <v>31</v>
      </c>
      <c r="C165" s="6" t="s">
        <v>932</v>
      </c>
      <c r="D165" s="6" t="s">
        <v>933</v>
      </c>
      <c r="E165" s="6" t="s">
        <v>570</v>
      </c>
      <c r="F165" s="6" t="s">
        <v>934</v>
      </c>
      <c r="G165" s="6" t="s">
        <v>935</v>
      </c>
    </row>
    <row r="166" spans="1:7" x14ac:dyDescent="0.25">
      <c r="A166" s="6">
        <v>165</v>
      </c>
      <c r="B166" s="6" t="s">
        <v>31</v>
      </c>
      <c r="C166" s="6" t="s">
        <v>936</v>
      </c>
      <c r="D166" s="6" t="s">
        <v>937</v>
      </c>
      <c r="E166" s="6" t="s">
        <v>24</v>
      </c>
      <c r="F166" s="6" t="s">
        <v>938</v>
      </c>
      <c r="G166" s="6" t="s">
        <v>939</v>
      </c>
    </row>
    <row r="167" spans="1:7" x14ac:dyDescent="0.25">
      <c r="A167" s="6">
        <v>166</v>
      </c>
      <c r="B167" s="6" t="s">
        <v>31</v>
      </c>
      <c r="C167" s="6" t="s">
        <v>940</v>
      </c>
      <c r="D167" s="6" t="s">
        <v>941</v>
      </c>
      <c r="E167" s="6" t="s">
        <v>622</v>
      </c>
      <c r="F167" s="6" t="s">
        <v>942</v>
      </c>
      <c r="G167" s="6" t="s">
        <v>943</v>
      </c>
    </row>
    <row r="168" spans="1:7" x14ac:dyDescent="0.25">
      <c r="A168" s="6">
        <v>167</v>
      </c>
      <c r="B168" s="6" t="s">
        <v>31</v>
      </c>
      <c r="C168" s="6" t="s">
        <v>944</v>
      </c>
      <c r="D168" s="6" t="s">
        <v>945</v>
      </c>
      <c r="E168" s="6" t="s">
        <v>23</v>
      </c>
      <c r="F168" s="6" t="s">
        <v>946</v>
      </c>
      <c r="G168" s="6" t="s">
        <v>90</v>
      </c>
    </row>
    <row r="169" spans="1:7" x14ac:dyDescent="0.25">
      <c r="A169" s="6">
        <v>168</v>
      </c>
      <c r="B169" s="6" t="s">
        <v>31</v>
      </c>
      <c r="C169" s="6" t="s">
        <v>947</v>
      </c>
      <c r="D169" s="6" t="s">
        <v>948</v>
      </c>
      <c r="E169" s="6" t="s">
        <v>622</v>
      </c>
      <c r="F169" s="6" t="s">
        <v>949</v>
      </c>
      <c r="G169" s="6" t="s">
        <v>950</v>
      </c>
    </row>
    <row r="170" spans="1:7" x14ac:dyDescent="0.25">
      <c r="A170" s="6">
        <v>169</v>
      </c>
      <c r="B170" s="6" t="s">
        <v>31</v>
      </c>
      <c r="C170" s="6" t="s">
        <v>951</v>
      </c>
      <c r="D170" s="6" t="s">
        <v>952</v>
      </c>
      <c r="E170" s="6" t="s">
        <v>953</v>
      </c>
      <c r="F170" s="6" t="s">
        <v>954</v>
      </c>
      <c r="G170" s="6" t="s">
        <v>641</v>
      </c>
    </row>
    <row r="171" spans="1:7" x14ac:dyDescent="0.25">
      <c r="A171" s="6">
        <v>170</v>
      </c>
      <c r="B171" s="6" t="s">
        <v>31</v>
      </c>
      <c r="C171" s="6" t="s">
        <v>955</v>
      </c>
      <c r="D171" s="6" t="s">
        <v>956</v>
      </c>
      <c r="E171" s="6" t="s">
        <v>957</v>
      </c>
      <c r="F171" s="6" t="s">
        <v>958</v>
      </c>
      <c r="G171" s="6" t="s">
        <v>959</v>
      </c>
    </row>
    <row r="172" spans="1:7" x14ac:dyDescent="0.25">
      <c r="A172" s="6">
        <v>171</v>
      </c>
      <c r="B172" s="6" t="s">
        <v>31</v>
      </c>
      <c r="C172" s="6" t="s">
        <v>960</v>
      </c>
      <c r="D172" s="6" t="s">
        <v>961</v>
      </c>
      <c r="E172" s="6" t="s">
        <v>23</v>
      </c>
      <c r="F172" s="6" t="s">
        <v>962</v>
      </c>
      <c r="G172" s="6" t="s">
        <v>90</v>
      </c>
    </row>
    <row r="173" spans="1:7" x14ac:dyDescent="0.25">
      <c r="A173" s="6">
        <v>172</v>
      </c>
      <c r="B173" s="6" t="s">
        <v>31</v>
      </c>
      <c r="C173" s="6" t="s">
        <v>963</v>
      </c>
      <c r="D173" s="6" t="s">
        <v>964</v>
      </c>
      <c r="E173" s="6" t="s">
        <v>570</v>
      </c>
      <c r="F173" s="6" t="s">
        <v>965</v>
      </c>
      <c r="G173" s="6" t="s">
        <v>966</v>
      </c>
    </row>
    <row r="174" spans="1:7" x14ac:dyDescent="0.25">
      <c r="A174" s="6">
        <v>173</v>
      </c>
      <c r="B174" s="6" t="s">
        <v>31</v>
      </c>
      <c r="C174" s="6" t="s">
        <v>967</v>
      </c>
      <c r="D174" s="6" t="s">
        <v>968</v>
      </c>
      <c r="E174" s="6" t="s">
        <v>24</v>
      </c>
      <c r="F174" s="6" t="s">
        <v>969</v>
      </c>
      <c r="G174" s="6" t="s">
        <v>966</v>
      </c>
    </row>
    <row r="175" spans="1:7" x14ac:dyDescent="0.25">
      <c r="A175" s="6">
        <v>174</v>
      </c>
      <c r="B175" s="6" t="s">
        <v>31</v>
      </c>
      <c r="C175" s="6" t="s">
        <v>970</v>
      </c>
      <c r="D175" s="6" t="s">
        <v>971</v>
      </c>
      <c r="E175" s="6" t="s">
        <v>570</v>
      </c>
      <c r="F175" s="6" t="s">
        <v>972</v>
      </c>
      <c r="G175" s="6" t="s">
        <v>973</v>
      </c>
    </row>
    <row r="176" spans="1:7" x14ac:dyDescent="0.25">
      <c r="A176" s="6">
        <v>175</v>
      </c>
      <c r="B176" s="6" t="s">
        <v>31</v>
      </c>
      <c r="C176" s="6" t="s">
        <v>974</v>
      </c>
      <c r="D176" s="6" t="s">
        <v>975</v>
      </c>
      <c r="E176" s="6" t="s">
        <v>24</v>
      </c>
      <c r="F176" s="6" t="s">
        <v>976</v>
      </c>
      <c r="G176" s="6" t="s">
        <v>654</v>
      </c>
    </row>
    <row r="177" spans="1:7" x14ac:dyDescent="0.25">
      <c r="A177" s="6">
        <v>176</v>
      </c>
      <c r="B177" s="6" t="s">
        <v>31</v>
      </c>
      <c r="C177" s="6" t="s">
        <v>977</v>
      </c>
      <c r="D177" s="6" t="s">
        <v>978</v>
      </c>
      <c r="E177" s="6" t="s">
        <v>24</v>
      </c>
      <c r="F177" s="6" t="s">
        <v>979</v>
      </c>
      <c r="G177" s="6" t="s">
        <v>980</v>
      </c>
    </row>
    <row r="178" spans="1:7" x14ac:dyDescent="0.25">
      <c r="A178" s="6">
        <v>177</v>
      </c>
      <c r="B178" s="6" t="s">
        <v>31</v>
      </c>
      <c r="C178" s="6" t="s">
        <v>981</v>
      </c>
      <c r="D178" s="6" t="s">
        <v>982</v>
      </c>
      <c r="E178" s="6" t="s">
        <v>575</v>
      </c>
      <c r="F178" s="6" t="s">
        <v>983</v>
      </c>
      <c r="G178" s="6" t="s">
        <v>90</v>
      </c>
    </row>
    <row r="179" spans="1:7" x14ac:dyDescent="0.25">
      <c r="A179" s="6">
        <v>178</v>
      </c>
      <c r="B179" s="6" t="s">
        <v>31</v>
      </c>
      <c r="C179" s="6" t="s">
        <v>984</v>
      </c>
      <c r="D179" s="6" t="s">
        <v>985</v>
      </c>
      <c r="E179" s="6" t="s">
        <v>24</v>
      </c>
      <c r="F179" s="6" t="s">
        <v>986</v>
      </c>
      <c r="G179" s="6" t="s">
        <v>987</v>
      </c>
    </row>
    <row r="180" spans="1:7" x14ac:dyDescent="0.25">
      <c r="A180" s="6">
        <v>179</v>
      </c>
      <c r="B180" s="6" t="s">
        <v>31</v>
      </c>
      <c r="C180" s="6" t="s">
        <v>988</v>
      </c>
      <c r="D180" s="6" t="s">
        <v>989</v>
      </c>
      <c r="E180" s="6" t="s">
        <v>622</v>
      </c>
      <c r="F180" s="6" t="s">
        <v>990</v>
      </c>
      <c r="G180" s="6" t="s">
        <v>991</v>
      </c>
    </row>
    <row r="181" spans="1:7" x14ac:dyDescent="0.25">
      <c r="A181" s="6">
        <v>180</v>
      </c>
      <c r="B181" s="6" t="s">
        <v>31</v>
      </c>
      <c r="C181" s="6" t="s">
        <v>992</v>
      </c>
      <c r="D181" s="6" t="s">
        <v>993</v>
      </c>
      <c r="E181" s="6" t="s">
        <v>575</v>
      </c>
      <c r="F181" s="6" t="s">
        <v>994</v>
      </c>
      <c r="G181" s="6" t="s">
        <v>90</v>
      </c>
    </row>
    <row r="182" spans="1:7" x14ac:dyDescent="0.25">
      <c r="A182" s="6">
        <v>181</v>
      </c>
      <c r="B182" s="6" t="s">
        <v>31</v>
      </c>
      <c r="C182" s="6" t="s">
        <v>995</v>
      </c>
      <c r="D182" s="6" t="s">
        <v>996</v>
      </c>
      <c r="E182" s="6" t="s">
        <v>414</v>
      </c>
      <c r="F182" s="6" t="s">
        <v>997</v>
      </c>
      <c r="G182" s="6" t="s">
        <v>998</v>
      </c>
    </row>
    <row r="183" spans="1:7" x14ac:dyDescent="0.25">
      <c r="A183" s="6">
        <v>182</v>
      </c>
      <c r="B183" s="6" t="s">
        <v>31</v>
      </c>
      <c r="C183" s="6" t="s">
        <v>999</v>
      </c>
      <c r="D183" s="6" t="s">
        <v>1000</v>
      </c>
      <c r="E183" s="6" t="s">
        <v>570</v>
      </c>
      <c r="F183" s="6" t="s">
        <v>1001</v>
      </c>
      <c r="G183" s="6" t="s">
        <v>1002</v>
      </c>
    </row>
    <row r="184" spans="1:7" x14ac:dyDescent="0.25">
      <c r="A184" s="6">
        <v>183</v>
      </c>
      <c r="B184" s="6" t="s">
        <v>31</v>
      </c>
      <c r="C184" s="6" t="s">
        <v>1003</v>
      </c>
      <c r="D184" s="6" t="s">
        <v>1004</v>
      </c>
      <c r="E184" s="6" t="s">
        <v>376</v>
      </c>
      <c r="F184" s="6" t="s">
        <v>1005</v>
      </c>
      <c r="G184" s="6" t="s">
        <v>641</v>
      </c>
    </row>
    <row r="185" spans="1:7" x14ac:dyDescent="0.25">
      <c r="A185" s="6">
        <v>184</v>
      </c>
      <c r="B185" s="6" t="s">
        <v>31</v>
      </c>
      <c r="C185" s="6" t="s">
        <v>1006</v>
      </c>
      <c r="D185" s="6" t="s">
        <v>1007</v>
      </c>
      <c r="E185" s="6" t="s">
        <v>24</v>
      </c>
      <c r="F185" s="6" t="s">
        <v>1008</v>
      </c>
      <c r="G185" s="6" t="s">
        <v>1009</v>
      </c>
    </row>
    <row r="186" spans="1:7" x14ac:dyDescent="0.25">
      <c r="A186" s="6">
        <v>185</v>
      </c>
      <c r="B186" s="6" t="s">
        <v>31</v>
      </c>
      <c r="C186" s="6" t="s">
        <v>1010</v>
      </c>
      <c r="D186" s="6" t="s">
        <v>1011</v>
      </c>
      <c r="E186" s="6" t="s">
        <v>24</v>
      </c>
      <c r="F186" s="6" t="s">
        <v>1012</v>
      </c>
      <c r="G186" s="6" t="s">
        <v>1013</v>
      </c>
    </row>
    <row r="187" spans="1:7" x14ac:dyDescent="0.25">
      <c r="A187" s="6">
        <v>186</v>
      </c>
      <c r="B187" s="6" t="s">
        <v>31</v>
      </c>
      <c r="C187" s="6" t="s">
        <v>1014</v>
      </c>
      <c r="D187" s="6" t="s">
        <v>1015</v>
      </c>
      <c r="E187" s="6" t="s">
        <v>24</v>
      </c>
      <c r="F187" s="6" t="s">
        <v>1016</v>
      </c>
      <c r="G187" s="6" t="s">
        <v>1017</v>
      </c>
    </row>
    <row r="188" spans="1:7" x14ac:dyDescent="0.25">
      <c r="A188" s="6">
        <v>187</v>
      </c>
      <c r="B188" s="6" t="s">
        <v>31</v>
      </c>
      <c r="C188" s="6" t="s">
        <v>1018</v>
      </c>
      <c r="D188" s="6" t="s">
        <v>1019</v>
      </c>
      <c r="E188" s="6" t="s">
        <v>25</v>
      </c>
      <c r="F188" s="6" t="s">
        <v>1020</v>
      </c>
      <c r="G188" s="6" t="s">
        <v>90</v>
      </c>
    </row>
    <row r="189" spans="1:7" x14ac:dyDescent="0.25">
      <c r="A189" s="6">
        <v>188</v>
      </c>
      <c r="B189" s="6" t="s">
        <v>31</v>
      </c>
      <c r="C189" s="6" t="s">
        <v>1021</v>
      </c>
      <c r="D189" s="6" t="s">
        <v>1022</v>
      </c>
      <c r="E189" s="6" t="s">
        <v>494</v>
      </c>
      <c r="F189" s="6" t="s">
        <v>1023</v>
      </c>
      <c r="G189" s="6" t="s">
        <v>90</v>
      </c>
    </row>
    <row r="190" spans="1:7" x14ac:dyDescent="0.25">
      <c r="A190" s="6">
        <v>189</v>
      </c>
      <c r="B190" s="6" t="s">
        <v>31</v>
      </c>
      <c r="C190" s="6" t="s">
        <v>1024</v>
      </c>
      <c r="D190" s="6" t="s">
        <v>1025</v>
      </c>
      <c r="E190" s="6" t="s">
        <v>24</v>
      </c>
      <c r="F190" s="6" t="s">
        <v>1026</v>
      </c>
      <c r="G190" s="6" t="s">
        <v>1027</v>
      </c>
    </row>
    <row r="191" spans="1:7" x14ac:dyDescent="0.25">
      <c r="A191" s="6">
        <v>190</v>
      </c>
      <c r="B191" s="6" t="s">
        <v>31</v>
      </c>
      <c r="C191" s="6" t="s">
        <v>1028</v>
      </c>
      <c r="D191" s="6" t="s">
        <v>1029</v>
      </c>
      <c r="E191" s="6" t="s">
        <v>25</v>
      </c>
      <c r="F191" s="6" t="s">
        <v>1030</v>
      </c>
      <c r="G191" s="6" t="s">
        <v>90</v>
      </c>
    </row>
    <row r="192" spans="1:7" x14ac:dyDescent="0.25">
      <c r="A192" s="6">
        <v>191</v>
      </c>
      <c r="B192" s="6" t="s">
        <v>31</v>
      </c>
      <c r="C192" s="6" t="s">
        <v>1031</v>
      </c>
      <c r="D192" s="6" t="s">
        <v>1032</v>
      </c>
      <c r="E192" s="6" t="s">
        <v>24</v>
      </c>
      <c r="F192" s="6" t="s">
        <v>1033</v>
      </c>
      <c r="G192" s="6" t="s">
        <v>872</v>
      </c>
    </row>
    <row r="193" spans="1:7" x14ac:dyDescent="0.25">
      <c r="A193" s="6">
        <v>192</v>
      </c>
      <c r="B193" s="6" t="s">
        <v>31</v>
      </c>
      <c r="C193" s="6" t="s">
        <v>1034</v>
      </c>
      <c r="D193" s="6" t="s">
        <v>1035</v>
      </c>
      <c r="E193" s="6" t="s">
        <v>622</v>
      </c>
      <c r="F193" s="6" t="s">
        <v>1036</v>
      </c>
      <c r="G193" s="6" t="s">
        <v>872</v>
      </c>
    </row>
    <row r="194" spans="1:7" x14ac:dyDescent="0.25">
      <c r="A194" s="6">
        <v>193</v>
      </c>
      <c r="B194" s="6" t="s">
        <v>31</v>
      </c>
      <c r="C194" s="6" t="s">
        <v>1037</v>
      </c>
      <c r="D194" s="6" t="s">
        <v>1038</v>
      </c>
      <c r="E194" s="6" t="s">
        <v>570</v>
      </c>
      <c r="F194" s="6" t="s">
        <v>1039</v>
      </c>
      <c r="G194" s="6" t="s">
        <v>1040</v>
      </c>
    </row>
    <row r="195" spans="1:7" x14ac:dyDescent="0.25">
      <c r="A195" s="6">
        <v>194</v>
      </c>
      <c r="B195" s="6" t="s">
        <v>31</v>
      </c>
      <c r="C195" s="6" t="s">
        <v>1041</v>
      </c>
      <c r="D195" s="6" t="s">
        <v>1042</v>
      </c>
      <c r="E195" s="6" t="s">
        <v>24</v>
      </c>
      <c r="F195" s="6" t="s">
        <v>1043</v>
      </c>
      <c r="G195" s="6" t="s">
        <v>1044</v>
      </c>
    </row>
    <row r="196" spans="1:7" x14ac:dyDescent="0.25">
      <c r="A196" s="6">
        <v>195</v>
      </c>
      <c r="B196" s="6" t="s">
        <v>31</v>
      </c>
      <c r="C196" s="6" t="s">
        <v>1045</v>
      </c>
      <c r="D196" s="6" t="s">
        <v>1046</v>
      </c>
      <c r="E196" s="6" t="s">
        <v>25</v>
      </c>
      <c r="F196" s="6" t="s">
        <v>1047</v>
      </c>
      <c r="G196" s="6" t="s">
        <v>90</v>
      </c>
    </row>
    <row r="197" spans="1:7" x14ac:dyDescent="0.25">
      <c r="A197" s="6">
        <v>196</v>
      </c>
      <c r="B197" s="6" t="s">
        <v>31</v>
      </c>
      <c r="C197" s="6" t="s">
        <v>1048</v>
      </c>
      <c r="D197" s="6" t="s">
        <v>1049</v>
      </c>
      <c r="E197" s="6" t="s">
        <v>494</v>
      </c>
      <c r="F197" s="6" t="s">
        <v>1050</v>
      </c>
      <c r="G197" s="6" t="s">
        <v>90</v>
      </c>
    </row>
    <row r="198" spans="1:7" x14ac:dyDescent="0.25">
      <c r="A198" s="6">
        <v>197</v>
      </c>
      <c r="B198" s="6" t="s">
        <v>31</v>
      </c>
      <c r="C198" s="6" t="s">
        <v>1051</v>
      </c>
      <c r="D198" s="6" t="s">
        <v>1052</v>
      </c>
      <c r="E198" s="6" t="s">
        <v>575</v>
      </c>
      <c r="F198" s="6" t="s">
        <v>1053</v>
      </c>
      <c r="G198" s="6" t="s">
        <v>90</v>
      </c>
    </row>
    <row r="199" spans="1:7" x14ac:dyDescent="0.25">
      <c r="A199" s="6">
        <v>198</v>
      </c>
      <c r="B199" s="6" t="s">
        <v>31</v>
      </c>
      <c r="C199" s="6" t="s">
        <v>1054</v>
      </c>
      <c r="D199" s="6" t="s">
        <v>1055</v>
      </c>
      <c r="E199" s="6" t="s">
        <v>953</v>
      </c>
      <c r="F199" s="6" t="s">
        <v>1056</v>
      </c>
      <c r="G199" s="6" t="s">
        <v>641</v>
      </c>
    </row>
    <row r="200" spans="1:7" x14ac:dyDescent="0.25">
      <c r="A200" s="6">
        <v>199</v>
      </c>
      <c r="B200" s="6" t="s">
        <v>31</v>
      </c>
      <c r="C200" s="6" t="s">
        <v>1057</v>
      </c>
      <c r="D200" s="6" t="s">
        <v>1058</v>
      </c>
      <c r="E200" s="6" t="s">
        <v>622</v>
      </c>
      <c r="F200" s="6" t="s">
        <v>1059</v>
      </c>
      <c r="G200" s="6" t="s">
        <v>641</v>
      </c>
    </row>
    <row r="201" spans="1:7" x14ac:dyDescent="0.25">
      <c r="A201" s="6">
        <v>200</v>
      </c>
      <c r="B201" s="6" t="s">
        <v>31</v>
      </c>
      <c r="C201" s="6" t="s">
        <v>1060</v>
      </c>
      <c r="D201" s="6" t="s">
        <v>1061</v>
      </c>
      <c r="E201" s="6" t="s">
        <v>622</v>
      </c>
      <c r="F201" s="6" t="s">
        <v>1062</v>
      </c>
      <c r="G201" s="6" t="s">
        <v>641</v>
      </c>
    </row>
    <row r="202" spans="1:7" x14ac:dyDescent="0.25">
      <c r="A202" s="6">
        <v>201</v>
      </c>
      <c r="B202" s="6" t="s">
        <v>31</v>
      </c>
      <c r="C202" s="6" t="s">
        <v>1063</v>
      </c>
      <c r="D202" s="6" t="s">
        <v>1064</v>
      </c>
      <c r="E202" s="6" t="s">
        <v>494</v>
      </c>
      <c r="F202" s="6" t="s">
        <v>1065</v>
      </c>
      <c r="G202" s="6" t="s">
        <v>90</v>
      </c>
    </row>
    <row r="203" spans="1:7" x14ac:dyDescent="0.25">
      <c r="A203" s="6">
        <v>202</v>
      </c>
      <c r="B203" s="6" t="s">
        <v>31</v>
      </c>
      <c r="C203" s="6" t="s">
        <v>1066</v>
      </c>
      <c r="D203" s="6" t="s">
        <v>1067</v>
      </c>
      <c r="E203" s="6" t="s">
        <v>23</v>
      </c>
      <c r="F203" s="6" t="s">
        <v>1068</v>
      </c>
      <c r="G203" s="6" t="s">
        <v>90</v>
      </c>
    </row>
    <row r="204" spans="1:7" x14ac:dyDescent="0.25">
      <c r="A204" s="6">
        <v>203</v>
      </c>
      <c r="B204" s="6" t="s">
        <v>31</v>
      </c>
      <c r="C204" s="6" t="s">
        <v>1069</v>
      </c>
      <c r="D204" s="6" t="s">
        <v>1070</v>
      </c>
      <c r="E204" s="6" t="s">
        <v>376</v>
      </c>
      <c r="F204" s="6" t="s">
        <v>1071</v>
      </c>
      <c r="G204" s="6" t="s">
        <v>641</v>
      </c>
    </row>
    <row r="205" spans="1:7" x14ac:dyDescent="0.25">
      <c r="A205" s="6">
        <v>204</v>
      </c>
      <c r="B205" s="6" t="s">
        <v>31</v>
      </c>
      <c r="C205" s="6" t="s">
        <v>1072</v>
      </c>
      <c r="D205" s="6" t="s">
        <v>1073</v>
      </c>
      <c r="E205" s="6" t="s">
        <v>622</v>
      </c>
      <c r="F205" s="6" t="s">
        <v>1074</v>
      </c>
      <c r="G205" s="6" t="s">
        <v>641</v>
      </c>
    </row>
    <row r="206" spans="1:7" x14ac:dyDescent="0.25">
      <c r="A206" s="6">
        <v>205</v>
      </c>
      <c r="B206" s="6" t="s">
        <v>31</v>
      </c>
      <c r="C206" s="6" t="s">
        <v>1075</v>
      </c>
      <c r="D206" s="6" t="s">
        <v>1076</v>
      </c>
      <c r="E206" s="6" t="s">
        <v>376</v>
      </c>
      <c r="F206" s="6" t="s">
        <v>1077</v>
      </c>
      <c r="G206" s="6" t="s">
        <v>641</v>
      </c>
    </row>
    <row r="207" spans="1:7" x14ac:dyDescent="0.25">
      <c r="A207" s="6">
        <v>206</v>
      </c>
      <c r="B207" s="6" t="s">
        <v>31</v>
      </c>
      <c r="C207" s="6" t="s">
        <v>1078</v>
      </c>
      <c r="D207" s="6" t="s">
        <v>1079</v>
      </c>
      <c r="E207" s="6" t="s">
        <v>24</v>
      </c>
      <c r="F207" s="6" t="s">
        <v>1080</v>
      </c>
      <c r="G207" s="6" t="s">
        <v>1081</v>
      </c>
    </row>
    <row r="208" spans="1:7" x14ac:dyDescent="0.25">
      <c r="A208" s="6">
        <v>207</v>
      </c>
      <c r="B208" s="6" t="s">
        <v>31</v>
      </c>
      <c r="C208" s="6" t="s">
        <v>1082</v>
      </c>
      <c r="D208" s="6" t="s">
        <v>1083</v>
      </c>
      <c r="E208" s="6" t="s">
        <v>376</v>
      </c>
      <c r="F208" s="6" t="s">
        <v>1084</v>
      </c>
      <c r="G208" s="6" t="s">
        <v>1085</v>
      </c>
    </row>
    <row r="209" spans="1:7" x14ac:dyDescent="0.25">
      <c r="A209" s="6">
        <v>208</v>
      </c>
      <c r="B209" s="6" t="s">
        <v>31</v>
      </c>
      <c r="C209" s="6" t="s">
        <v>1086</v>
      </c>
      <c r="D209" s="6" t="s">
        <v>1087</v>
      </c>
      <c r="E209" s="6" t="s">
        <v>953</v>
      </c>
      <c r="F209" s="6" t="s">
        <v>1088</v>
      </c>
      <c r="G209" s="6" t="s">
        <v>1089</v>
      </c>
    </row>
    <row r="210" spans="1:7" x14ac:dyDescent="0.25">
      <c r="A210" s="6">
        <v>209</v>
      </c>
      <c r="B210" s="6" t="s">
        <v>31</v>
      </c>
      <c r="C210" s="6" t="s">
        <v>1090</v>
      </c>
      <c r="D210" s="6" t="s">
        <v>1091</v>
      </c>
      <c r="E210" s="6" t="s">
        <v>23</v>
      </c>
      <c r="F210" s="6" t="s">
        <v>1092</v>
      </c>
      <c r="G210" s="6" t="s">
        <v>90</v>
      </c>
    </row>
    <row r="211" spans="1:7" x14ac:dyDescent="0.25">
      <c r="A211" s="6">
        <v>210</v>
      </c>
      <c r="B211" s="6" t="s">
        <v>31</v>
      </c>
      <c r="C211" s="6" t="s">
        <v>1093</v>
      </c>
      <c r="D211" s="6" t="s">
        <v>1094</v>
      </c>
      <c r="E211" s="6" t="s">
        <v>23</v>
      </c>
      <c r="F211" s="6" t="s">
        <v>1095</v>
      </c>
      <c r="G211" s="6" t="s">
        <v>90</v>
      </c>
    </row>
    <row r="212" spans="1:7" x14ac:dyDescent="0.25">
      <c r="A212" s="6">
        <v>211</v>
      </c>
      <c r="B212" s="6" t="s">
        <v>31</v>
      </c>
      <c r="C212" s="6" t="s">
        <v>1096</v>
      </c>
      <c r="D212" s="6" t="s">
        <v>1097</v>
      </c>
      <c r="E212" s="6" t="s">
        <v>570</v>
      </c>
      <c r="F212" s="6" t="s">
        <v>1098</v>
      </c>
      <c r="G212" s="6" t="s">
        <v>1099</v>
      </c>
    </row>
    <row r="213" spans="1:7" x14ac:dyDescent="0.25">
      <c r="A213" s="6">
        <v>212</v>
      </c>
      <c r="B213" s="6" t="s">
        <v>31</v>
      </c>
      <c r="C213" s="6" t="s">
        <v>1100</v>
      </c>
      <c r="D213" s="6" t="s">
        <v>1101</v>
      </c>
      <c r="E213" s="6" t="s">
        <v>24</v>
      </c>
      <c r="F213" s="6" t="s">
        <v>1102</v>
      </c>
      <c r="G213" s="6" t="s">
        <v>1103</v>
      </c>
    </row>
    <row r="214" spans="1:7" x14ac:dyDescent="0.25">
      <c r="A214" s="6">
        <v>213</v>
      </c>
      <c r="B214" s="6" t="s">
        <v>31</v>
      </c>
      <c r="C214" s="6" t="s">
        <v>1104</v>
      </c>
      <c r="D214" s="6" t="s">
        <v>1105</v>
      </c>
      <c r="E214" s="6" t="s">
        <v>24</v>
      </c>
      <c r="F214" s="6" t="s">
        <v>1106</v>
      </c>
      <c r="G214" s="6" t="s">
        <v>1107</v>
      </c>
    </row>
    <row r="215" spans="1:7" x14ac:dyDescent="0.25">
      <c r="A215" s="6">
        <v>214</v>
      </c>
      <c r="B215" s="6" t="s">
        <v>31</v>
      </c>
      <c r="C215" s="6" t="s">
        <v>1108</v>
      </c>
      <c r="D215" s="6" t="s">
        <v>1109</v>
      </c>
      <c r="E215" s="6" t="s">
        <v>376</v>
      </c>
      <c r="F215" s="6" t="s">
        <v>1110</v>
      </c>
      <c r="G215" s="6" t="s">
        <v>1111</v>
      </c>
    </row>
    <row r="216" spans="1:7" x14ac:dyDescent="0.25">
      <c r="A216" s="6">
        <v>215</v>
      </c>
      <c r="B216" s="6" t="s">
        <v>31</v>
      </c>
      <c r="C216" s="6" t="s">
        <v>1112</v>
      </c>
      <c r="D216" s="6" t="s">
        <v>1113</v>
      </c>
      <c r="E216" s="6" t="s">
        <v>494</v>
      </c>
      <c r="F216" s="6" t="s">
        <v>1114</v>
      </c>
      <c r="G216" s="6" t="s">
        <v>90</v>
      </c>
    </row>
    <row r="217" spans="1:7" x14ac:dyDescent="0.25">
      <c r="A217" s="6">
        <v>216</v>
      </c>
      <c r="B217" s="6" t="s">
        <v>31</v>
      </c>
      <c r="C217" s="6" t="s">
        <v>1115</v>
      </c>
      <c r="D217" s="6" t="s">
        <v>1116</v>
      </c>
      <c r="E217" s="6" t="s">
        <v>23</v>
      </c>
      <c r="F217" s="6" t="s">
        <v>1117</v>
      </c>
      <c r="G217" s="6" t="s">
        <v>90</v>
      </c>
    </row>
    <row r="218" spans="1:7" x14ac:dyDescent="0.25">
      <c r="A218" s="6">
        <v>217</v>
      </c>
      <c r="B218" s="6" t="s">
        <v>31</v>
      </c>
      <c r="C218" s="6" t="s">
        <v>1118</v>
      </c>
      <c r="D218" s="6" t="s">
        <v>1119</v>
      </c>
      <c r="E218" s="6" t="s">
        <v>575</v>
      </c>
      <c r="F218" s="6" t="s">
        <v>1120</v>
      </c>
      <c r="G218" s="6" t="s">
        <v>90</v>
      </c>
    </row>
    <row r="219" spans="1:7" x14ac:dyDescent="0.25">
      <c r="A219" s="6">
        <v>218</v>
      </c>
      <c r="B219" s="6" t="s">
        <v>31</v>
      </c>
      <c r="C219" s="6" t="s">
        <v>1121</v>
      </c>
      <c r="D219" s="6" t="s">
        <v>1122</v>
      </c>
      <c r="E219" s="6" t="s">
        <v>24</v>
      </c>
      <c r="F219" s="6" t="s">
        <v>1123</v>
      </c>
      <c r="G219" s="6" t="s">
        <v>641</v>
      </c>
    </row>
    <row r="220" spans="1:7" x14ac:dyDescent="0.25">
      <c r="A220" s="6">
        <v>219</v>
      </c>
      <c r="B220" s="6" t="s">
        <v>31</v>
      </c>
      <c r="C220" s="6" t="s">
        <v>1124</v>
      </c>
      <c r="D220" s="6" t="s">
        <v>1125</v>
      </c>
      <c r="E220" s="6" t="s">
        <v>376</v>
      </c>
      <c r="F220" s="6" t="s">
        <v>1126</v>
      </c>
      <c r="G220" s="6" t="s">
        <v>1127</v>
      </c>
    </row>
    <row r="221" spans="1:7" x14ac:dyDescent="0.25">
      <c r="A221" s="6">
        <v>220</v>
      </c>
      <c r="B221" s="6" t="s">
        <v>31</v>
      </c>
      <c r="C221" s="6" t="s">
        <v>1128</v>
      </c>
      <c r="D221" s="6" t="s">
        <v>1129</v>
      </c>
      <c r="E221" s="6" t="s">
        <v>376</v>
      </c>
      <c r="F221" s="6" t="s">
        <v>1130</v>
      </c>
      <c r="G221" s="6" t="s">
        <v>1131</v>
      </c>
    </row>
    <row r="222" spans="1:7" x14ac:dyDescent="0.25">
      <c r="A222" s="6">
        <v>221</v>
      </c>
      <c r="B222" s="6" t="s">
        <v>31</v>
      </c>
      <c r="C222" s="6" t="s">
        <v>1132</v>
      </c>
      <c r="D222" s="6" t="s">
        <v>1133</v>
      </c>
      <c r="E222" s="6" t="s">
        <v>24</v>
      </c>
      <c r="F222" s="6" t="s">
        <v>1134</v>
      </c>
      <c r="G222" s="6" t="s">
        <v>1135</v>
      </c>
    </row>
    <row r="223" spans="1:7" x14ac:dyDescent="0.25">
      <c r="A223" s="6">
        <v>222</v>
      </c>
      <c r="B223" s="6" t="s">
        <v>31</v>
      </c>
      <c r="C223" s="6" t="s">
        <v>1136</v>
      </c>
      <c r="D223" s="6" t="s">
        <v>1137</v>
      </c>
      <c r="E223" s="6" t="s">
        <v>24</v>
      </c>
      <c r="F223" s="6" t="s">
        <v>1138</v>
      </c>
      <c r="G223" s="6" t="s">
        <v>619</v>
      </c>
    </row>
    <row r="224" spans="1:7" x14ac:dyDescent="0.25">
      <c r="A224" s="6">
        <v>223</v>
      </c>
      <c r="B224" s="6" t="s">
        <v>31</v>
      </c>
      <c r="C224" s="6" t="s">
        <v>1139</v>
      </c>
      <c r="D224" s="6" t="s">
        <v>1140</v>
      </c>
      <c r="E224" s="6" t="s">
        <v>622</v>
      </c>
      <c r="F224" s="6" t="s">
        <v>1141</v>
      </c>
      <c r="G224" s="6" t="s">
        <v>1142</v>
      </c>
    </row>
    <row r="225" spans="1:7" x14ac:dyDescent="0.25">
      <c r="A225" s="6">
        <v>224</v>
      </c>
      <c r="B225" s="6" t="s">
        <v>31</v>
      </c>
      <c r="C225" s="6" t="s">
        <v>1143</v>
      </c>
      <c r="D225" s="6" t="s">
        <v>1144</v>
      </c>
      <c r="E225" s="6" t="s">
        <v>575</v>
      </c>
      <c r="F225" s="6" t="s">
        <v>1145</v>
      </c>
      <c r="G225" s="6" t="s">
        <v>90</v>
      </c>
    </row>
    <row r="226" spans="1:7" x14ac:dyDescent="0.25">
      <c r="A226" s="6">
        <v>225</v>
      </c>
      <c r="B226" s="6" t="s">
        <v>31</v>
      </c>
      <c r="C226" s="6" t="s">
        <v>1146</v>
      </c>
      <c r="D226" s="6" t="s">
        <v>1147</v>
      </c>
      <c r="E226" s="6" t="s">
        <v>570</v>
      </c>
      <c r="F226" s="6" t="s">
        <v>1148</v>
      </c>
      <c r="G226" s="6" t="s">
        <v>641</v>
      </c>
    </row>
    <row r="227" spans="1:7" x14ac:dyDescent="0.25">
      <c r="A227" s="6">
        <v>226</v>
      </c>
      <c r="B227" s="6" t="s">
        <v>31</v>
      </c>
      <c r="C227" s="6" t="s">
        <v>1149</v>
      </c>
      <c r="D227" s="6" t="s">
        <v>1150</v>
      </c>
      <c r="E227" s="6" t="s">
        <v>24</v>
      </c>
      <c r="F227" s="6" t="s">
        <v>1151</v>
      </c>
      <c r="G227" s="6" t="s">
        <v>1152</v>
      </c>
    </row>
    <row r="228" spans="1:7" x14ac:dyDescent="0.25">
      <c r="A228" s="6">
        <v>227</v>
      </c>
      <c r="B228" s="6" t="s">
        <v>31</v>
      </c>
      <c r="C228" s="6" t="s">
        <v>1153</v>
      </c>
      <c r="D228" s="6" t="s">
        <v>1154</v>
      </c>
      <c r="E228" s="6" t="s">
        <v>24</v>
      </c>
      <c r="F228" s="6" t="s">
        <v>1155</v>
      </c>
      <c r="G228" s="6" t="s">
        <v>641</v>
      </c>
    </row>
    <row r="229" spans="1:7" x14ac:dyDescent="0.25">
      <c r="A229" s="6">
        <v>228</v>
      </c>
      <c r="B229" s="6" t="s">
        <v>31</v>
      </c>
      <c r="C229" s="6" t="s">
        <v>1156</v>
      </c>
      <c r="D229" s="6" t="s">
        <v>1157</v>
      </c>
      <c r="E229" s="6" t="s">
        <v>570</v>
      </c>
      <c r="F229" s="6" t="s">
        <v>1158</v>
      </c>
      <c r="G229" s="6" t="s">
        <v>1159</v>
      </c>
    </row>
    <row r="230" spans="1:7" x14ac:dyDescent="0.25">
      <c r="A230" s="6">
        <v>229</v>
      </c>
      <c r="B230" s="6" t="s">
        <v>31</v>
      </c>
      <c r="C230" s="6" t="s">
        <v>1160</v>
      </c>
      <c r="D230" s="6" t="s">
        <v>1161</v>
      </c>
      <c r="E230" s="6" t="s">
        <v>24</v>
      </c>
      <c r="F230" s="6" t="s">
        <v>1162</v>
      </c>
      <c r="G230" s="6" t="s">
        <v>931</v>
      </c>
    </row>
    <row r="231" spans="1:7" x14ac:dyDescent="0.25">
      <c r="A231" s="6">
        <v>230</v>
      </c>
      <c r="B231" s="6" t="s">
        <v>31</v>
      </c>
      <c r="C231" s="6" t="s">
        <v>1163</v>
      </c>
      <c r="D231" s="6" t="s">
        <v>1164</v>
      </c>
      <c r="E231" s="6" t="s">
        <v>494</v>
      </c>
      <c r="F231" s="6" t="s">
        <v>1165</v>
      </c>
      <c r="G231" s="6" t="s">
        <v>90</v>
      </c>
    </row>
    <row r="232" spans="1:7" x14ac:dyDescent="0.25">
      <c r="A232" s="6">
        <v>231</v>
      </c>
      <c r="B232" s="6" t="s">
        <v>31</v>
      </c>
      <c r="C232" s="6" t="s">
        <v>1166</v>
      </c>
      <c r="D232" s="6" t="s">
        <v>1167</v>
      </c>
      <c r="E232" s="6" t="s">
        <v>24</v>
      </c>
      <c r="F232" s="6" t="s">
        <v>1168</v>
      </c>
      <c r="G232" s="6" t="s">
        <v>1169</v>
      </c>
    </row>
    <row r="233" spans="1:7" x14ac:dyDescent="0.25">
      <c r="A233" s="6">
        <v>232</v>
      </c>
      <c r="B233" s="6" t="s">
        <v>31</v>
      </c>
      <c r="C233" s="6" t="s">
        <v>1170</v>
      </c>
      <c r="D233" s="6" t="s">
        <v>1171</v>
      </c>
      <c r="E233" s="6" t="s">
        <v>24</v>
      </c>
      <c r="F233" s="6" t="s">
        <v>1172</v>
      </c>
      <c r="G233" s="6" t="s">
        <v>1173</v>
      </c>
    </row>
    <row r="234" spans="1:7" x14ac:dyDescent="0.25">
      <c r="A234" s="6">
        <v>233</v>
      </c>
      <c r="B234" s="6" t="s">
        <v>31</v>
      </c>
      <c r="C234" s="6" t="s">
        <v>1174</v>
      </c>
      <c r="D234" s="6" t="s">
        <v>1175</v>
      </c>
      <c r="E234" s="6" t="s">
        <v>24</v>
      </c>
      <c r="F234" s="6" t="s">
        <v>1176</v>
      </c>
      <c r="G234" s="6" t="s">
        <v>641</v>
      </c>
    </row>
    <row r="235" spans="1:7" x14ac:dyDescent="0.25">
      <c r="A235" s="6">
        <v>234</v>
      </c>
      <c r="B235" s="6" t="s">
        <v>31</v>
      </c>
      <c r="C235" s="6" t="s">
        <v>1177</v>
      </c>
      <c r="D235" s="6" t="s">
        <v>1178</v>
      </c>
      <c r="E235" s="6" t="s">
        <v>553</v>
      </c>
      <c r="F235" s="6" t="s">
        <v>1179</v>
      </c>
      <c r="G235" s="6" t="s">
        <v>90</v>
      </c>
    </row>
    <row r="236" spans="1:7" x14ac:dyDescent="0.25">
      <c r="A236" s="6">
        <v>235</v>
      </c>
      <c r="B236" s="6" t="s">
        <v>31</v>
      </c>
      <c r="C236" s="6" t="s">
        <v>1180</v>
      </c>
      <c r="D236" s="6" t="s">
        <v>1181</v>
      </c>
      <c r="E236" s="6" t="s">
        <v>24</v>
      </c>
      <c r="F236" s="6" t="s">
        <v>1182</v>
      </c>
      <c r="G236" s="6" t="s">
        <v>1183</v>
      </c>
    </row>
    <row r="237" spans="1:7" x14ac:dyDescent="0.25">
      <c r="A237" s="6">
        <v>236</v>
      </c>
      <c r="B237" s="6" t="s">
        <v>31</v>
      </c>
      <c r="C237" s="6" t="s">
        <v>1184</v>
      </c>
      <c r="D237" s="6" t="s">
        <v>1185</v>
      </c>
      <c r="E237" s="6" t="s">
        <v>24</v>
      </c>
      <c r="F237" s="6" t="s">
        <v>1186</v>
      </c>
      <c r="G237" s="6" t="s">
        <v>1187</v>
      </c>
    </row>
    <row r="238" spans="1:7" x14ac:dyDescent="0.25">
      <c r="A238" s="6">
        <v>237</v>
      </c>
      <c r="B238" s="6" t="s">
        <v>31</v>
      </c>
      <c r="C238" s="6" t="s">
        <v>1188</v>
      </c>
      <c r="D238" s="6" t="s">
        <v>1189</v>
      </c>
      <c r="E238" s="6" t="s">
        <v>24</v>
      </c>
      <c r="F238" s="6" t="s">
        <v>1190</v>
      </c>
      <c r="G238" s="6" t="s">
        <v>1191</v>
      </c>
    </row>
    <row r="239" spans="1:7" x14ac:dyDescent="0.25">
      <c r="A239" s="6">
        <v>238</v>
      </c>
      <c r="B239" s="6" t="s">
        <v>31</v>
      </c>
      <c r="C239" s="6" t="s">
        <v>1192</v>
      </c>
      <c r="D239" s="6" t="s">
        <v>1193</v>
      </c>
      <c r="E239" s="6" t="s">
        <v>24</v>
      </c>
      <c r="F239" s="6" t="s">
        <v>1194</v>
      </c>
      <c r="G239" s="6" t="s">
        <v>1195</v>
      </c>
    </row>
    <row r="240" spans="1:7" x14ac:dyDescent="0.25">
      <c r="A240" s="6">
        <v>239</v>
      </c>
      <c r="B240" s="6" t="s">
        <v>31</v>
      </c>
      <c r="C240" s="6" t="s">
        <v>1196</v>
      </c>
      <c r="D240" s="6" t="s">
        <v>1197</v>
      </c>
      <c r="E240" s="6" t="s">
        <v>622</v>
      </c>
      <c r="F240" s="6" t="s">
        <v>1198</v>
      </c>
      <c r="G240" s="6" t="s">
        <v>1199</v>
      </c>
    </row>
    <row r="241" spans="1:7" x14ac:dyDescent="0.25">
      <c r="A241" s="6">
        <v>240</v>
      </c>
      <c r="B241" s="6" t="s">
        <v>31</v>
      </c>
      <c r="C241" s="6" t="s">
        <v>1200</v>
      </c>
      <c r="D241" s="6" t="s">
        <v>1201</v>
      </c>
      <c r="E241" s="6" t="s">
        <v>24</v>
      </c>
      <c r="F241" s="6" t="s">
        <v>1202</v>
      </c>
      <c r="G241" s="6" t="s">
        <v>1203</v>
      </c>
    </row>
    <row r="242" spans="1:7" x14ac:dyDescent="0.25">
      <c r="A242" s="6">
        <v>241</v>
      </c>
      <c r="B242" s="6" t="s">
        <v>31</v>
      </c>
      <c r="C242" s="6" t="s">
        <v>1204</v>
      </c>
      <c r="D242" s="6" t="s">
        <v>1205</v>
      </c>
      <c r="E242" s="6" t="s">
        <v>24</v>
      </c>
      <c r="F242" s="6" t="s">
        <v>1206</v>
      </c>
      <c r="G242" s="6" t="s">
        <v>1207</v>
      </c>
    </row>
    <row r="243" spans="1:7" x14ac:dyDescent="0.25">
      <c r="A243" s="6">
        <v>242</v>
      </c>
      <c r="B243" s="6" t="s">
        <v>31</v>
      </c>
      <c r="C243" s="6" t="s">
        <v>1208</v>
      </c>
      <c r="D243" s="6" t="s">
        <v>1209</v>
      </c>
      <c r="E243" s="6" t="s">
        <v>575</v>
      </c>
      <c r="F243" s="6" t="s">
        <v>1210</v>
      </c>
      <c r="G243" s="6" t="s">
        <v>90</v>
      </c>
    </row>
    <row r="244" spans="1:7" x14ac:dyDescent="0.25">
      <c r="A244" s="6">
        <v>243</v>
      </c>
      <c r="B244" s="6" t="s">
        <v>31</v>
      </c>
      <c r="C244" s="6" t="s">
        <v>1211</v>
      </c>
      <c r="D244" s="6" t="s">
        <v>1212</v>
      </c>
      <c r="E244" s="6" t="s">
        <v>24</v>
      </c>
      <c r="F244" s="6" t="s">
        <v>1213</v>
      </c>
      <c r="G244" s="6" t="s">
        <v>1214</v>
      </c>
    </row>
    <row r="245" spans="1:7" x14ac:dyDescent="0.25">
      <c r="A245" s="6">
        <v>244</v>
      </c>
      <c r="B245" s="6" t="s">
        <v>31</v>
      </c>
      <c r="C245" s="6" t="s">
        <v>1215</v>
      </c>
      <c r="D245" s="6" t="s">
        <v>1216</v>
      </c>
      <c r="E245" s="6" t="s">
        <v>570</v>
      </c>
      <c r="F245" s="6" t="s">
        <v>1217</v>
      </c>
      <c r="G245" s="6" t="s">
        <v>1218</v>
      </c>
    </row>
    <row r="246" spans="1:7" x14ac:dyDescent="0.25">
      <c r="A246" s="6">
        <v>245</v>
      </c>
      <c r="B246" s="6" t="s">
        <v>31</v>
      </c>
      <c r="C246" s="6" t="s">
        <v>1219</v>
      </c>
      <c r="D246" s="6" t="s">
        <v>1220</v>
      </c>
      <c r="E246" s="6" t="s">
        <v>24</v>
      </c>
      <c r="F246" s="6" t="s">
        <v>1221</v>
      </c>
      <c r="G246" s="6" t="s">
        <v>1222</v>
      </c>
    </row>
    <row r="247" spans="1:7" x14ac:dyDescent="0.25">
      <c r="A247" s="6">
        <v>246</v>
      </c>
      <c r="B247" s="6" t="s">
        <v>31</v>
      </c>
      <c r="C247" s="6" t="s">
        <v>1223</v>
      </c>
      <c r="D247" s="6" t="s">
        <v>1224</v>
      </c>
      <c r="E247" s="6" t="s">
        <v>25</v>
      </c>
      <c r="F247" s="6" t="s">
        <v>1225</v>
      </c>
      <c r="G247" s="6" t="s">
        <v>90</v>
      </c>
    </row>
    <row r="248" spans="1:7" x14ac:dyDescent="0.25">
      <c r="A248" s="6">
        <v>247</v>
      </c>
      <c r="B248" s="6" t="s">
        <v>31</v>
      </c>
      <c r="C248" s="6" t="s">
        <v>1226</v>
      </c>
      <c r="D248" s="6" t="s">
        <v>1227</v>
      </c>
      <c r="E248" s="6" t="s">
        <v>498</v>
      </c>
      <c r="F248" s="6" t="s">
        <v>1228</v>
      </c>
      <c r="G248" s="6" t="s">
        <v>90</v>
      </c>
    </row>
    <row r="249" spans="1:7" x14ac:dyDescent="0.25">
      <c r="A249" s="6">
        <v>248</v>
      </c>
      <c r="B249" s="6" t="s">
        <v>31</v>
      </c>
      <c r="C249" s="6" t="s">
        <v>1229</v>
      </c>
      <c r="D249" s="6" t="s">
        <v>1230</v>
      </c>
      <c r="E249" s="6" t="s">
        <v>24</v>
      </c>
      <c r="F249" s="6" t="s">
        <v>1231</v>
      </c>
      <c r="G249" s="6" t="s">
        <v>641</v>
      </c>
    </row>
    <row r="250" spans="1:7" x14ac:dyDescent="0.25">
      <c r="A250" s="6">
        <v>249</v>
      </c>
      <c r="B250" s="6" t="s">
        <v>31</v>
      </c>
      <c r="C250" s="6" t="s">
        <v>1232</v>
      </c>
      <c r="D250" s="6" t="s">
        <v>1233</v>
      </c>
      <c r="E250" s="6" t="s">
        <v>622</v>
      </c>
      <c r="F250" s="6" t="s">
        <v>1234</v>
      </c>
      <c r="G250" s="6" t="s">
        <v>1235</v>
      </c>
    </row>
    <row r="251" spans="1:7" x14ac:dyDescent="0.25">
      <c r="A251" s="6">
        <v>250</v>
      </c>
      <c r="B251" s="6" t="s">
        <v>31</v>
      </c>
      <c r="C251" s="6" t="s">
        <v>1236</v>
      </c>
      <c r="D251" s="6" t="s">
        <v>1237</v>
      </c>
      <c r="E251" s="6" t="s">
        <v>24</v>
      </c>
      <c r="F251" s="6" t="s">
        <v>1238</v>
      </c>
      <c r="G251" s="6" t="s">
        <v>1239</v>
      </c>
    </row>
    <row r="252" spans="1:7" x14ac:dyDescent="0.25">
      <c r="A252" s="6">
        <v>251</v>
      </c>
      <c r="B252" s="6" t="s">
        <v>31</v>
      </c>
      <c r="C252" s="6" t="s">
        <v>1240</v>
      </c>
      <c r="D252" s="6" t="s">
        <v>1241</v>
      </c>
      <c r="E252" s="6" t="s">
        <v>376</v>
      </c>
      <c r="F252" s="6" t="s">
        <v>1242</v>
      </c>
      <c r="G252" s="6" t="s">
        <v>1243</v>
      </c>
    </row>
    <row r="253" spans="1:7" x14ac:dyDescent="0.25">
      <c r="A253" s="6">
        <v>252</v>
      </c>
      <c r="B253" s="6" t="s">
        <v>31</v>
      </c>
      <c r="C253" s="6" t="s">
        <v>1244</v>
      </c>
      <c r="D253" s="6" t="s">
        <v>1245</v>
      </c>
      <c r="E253" s="6" t="s">
        <v>24</v>
      </c>
      <c r="F253" s="6" t="s">
        <v>1246</v>
      </c>
      <c r="G253" s="6" t="s">
        <v>1247</v>
      </c>
    </row>
    <row r="254" spans="1:7" x14ac:dyDescent="0.25">
      <c r="A254" s="6">
        <v>253</v>
      </c>
      <c r="B254" s="6" t="s">
        <v>31</v>
      </c>
      <c r="C254" s="6" t="s">
        <v>1248</v>
      </c>
      <c r="D254" s="6" t="s">
        <v>1249</v>
      </c>
      <c r="E254" s="6" t="s">
        <v>24</v>
      </c>
      <c r="F254" s="6" t="s">
        <v>1250</v>
      </c>
      <c r="G254" s="6" t="s">
        <v>1251</v>
      </c>
    </row>
    <row r="255" spans="1:7" x14ac:dyDescent="0.25">
      <c r="A255" s="6">
        <v>254</v>
      </c>
      <c r="B255" s="6" t="s">
        <v>31</v>
      </c>
      <c r="C255" s="6" t="s">
        <v>1252</v>
      </c>
      <c r="D255" s="6" t="s">
        <v>1253</v>
      </c>
      <c r="E255" s="6" t="s">
        <v>25</v>
      </c>
      <c r="F255" s="6" t="s">
        <v>1254</v>
      </c>
      <c r="G255" s="6" t="s">
        <v>90</v>
      </c>
    </row>
    <row r="256" spans="1:7" x14ac:dyDescent="0.25">
      <c r="A256" s="6">
        <v>255</v>
      </c>
      <c r="B256" s="6" t="s">
        <v>31</v>
      </c>
      <c r="C256" s="6" t="s">
        <v>1255</v>
      </c>
      <c r="D256" s="6" t="s">
        <v>1256</v>
      </c>
      <c r="E256" s="6" t="s">
        <v>953</v>
      </c>
      <c r="F256" s="6" t="s">
        <v>1257</v>
      </c>
      <c r="G256" s="6" t="s">
        <v>872</v>
      </c>
    </row>
    <row r="257" spans="1:7" x14ac:dyDescent="0.25">
      <c r="A257" s="6">
        <v>256</v>
      </c>
      <c r="B257" s="6" t="s">
        <v>31</v>
      </c>
      <c r="C257" s="6" t="s">
        <v>1258</v>
      </c>
      <c r="D257" s="6" t="s">
        <v>1259</v>
      </c>
      <c r="E257" s="6" t="s">
        <v>414</v>
      </c>
      <c r="F257" s="6" t="s">
        <v>1260</v>
      </c>
      <c r="G257" s="6" t="s">
        <v>1261</v>
      </c>
    </row>
    <row r="258" spans="1:7" x14ac:dyDescent="0.25">
      <c r="A258" s="6">
        <v>257</v>
      </c>
      <c r="B258" s="6" t="s">
        <v>31</v>
      </c>
      <c r="C258" s="6" t="s">
        <v>1262</v>
      </c>
      <c r="D258" s="6" t="s">
        <v>1263</v>
      </c>
      <c r="E258" s="6" t="s">
        <v>570</v>
      </c>
      <c r="F258" s="6" t="s">
        <v>1264</v>
      </c>
      <c r="G258" s="6" t="s">
        <v>1265</v>
      </c>
    </row>
    <row r="259" spans="1:7" x14ac:dyDescent="0.25">
      <c r="A259" s="6">
        <v>258</v>
      </c>
      <c r="B259" s="6" t="s">
        <v>31</v>
      </c>
      <c r="C259" s="6" t="s">
        <v>1266</v>
      </c>
      <c r="D259" s="6" t="s">
        <v>1267</v>
      </c>
      <c r="E259" s="6" t="s">
        <v>570</v>
      </c>
      <c r="F259" s="6" t="s">
        <v>1268</v>
      </c>
      <c r="G259" s="6" t="s">
        <v>1269</v>
      </c>
    </row>
    <row r="260" spans="1:7" x14ac:dyDescent="0.25">
      <c r="A260" s="6">
        <v>259</v>
      </c>
      <c r="B260" s="6" t="s">
        <v>31</v>
      </c>
      <c r="C260" s="6" t="s">
        <v>1270</v>
      </c>
      <c r="D260" s="6" t="s">
        <v>1271</v>
      </c>
      <c r="E260" s="6" t="s">
        <v>24</v>
      </c>
      <c r="F260" s="6" t="s">
        <v>1272</v>
      </c>
      <c r="G260" s="6" t="s">
        <v>1273</v>
      </c>
    </row>
    <row r="261" spans="1:7" x14ac:dyDescent="0.25">
      <c r="A261" s="6">
        <v>260</v>
      </c>
      <c r="B261" s="6" t="s">
        <v>31</v>
      </c>
      <c r="C261" s="6" t="s">
        <v>1274</v>
      </c>
      <c r="D261" s="6" t="s">
        <v>1275</v>
      </c>
      <c r="E261" s="6" t="s">
        <v>494</v>
      </c>
      <c r="F261" s="6" t="s">
        <v>1276</v>
      </c>
      <c r="G261" s="6" t="s">
        <v>90</v>
      </c>
    </row>
    <row r="262" spans="1:7" x14ac:dyDescent="0.25">
      <c r="A262" s="6">
        <v>261</v>
      </c>
      <c r="B262" s="6" t="s">
        <v>31</v>
      </c>
      <c r="C262" s="6" t="s">
        <v>1277</v>
      </c>
      <c r="D262" s="6" t="s">
        <v>1278</v>
      </c>
      <c r="E262" s="6" t="s">
        <v>24</v>
      </c>
      <c r="F262" s="6" t="s">
        <v>1279</v>
      </c>
      <c r="G262" s="6" t="s">
        <v>1280</v>
      </c>
    </row>
    <row r="263" spans="1:7" x14ac:dyDescent="0.25">
      <c r="A263" s="6">
        <v>262</v>
      </c>
      <c r="B263" s="6" t="s">
        <v>31</v>
      </c>
      <c r="C263" s="6" t="s">
        <v>1281</v>
      </c>
      <c r="D263" s="6" t="s">
        <v>1282</v>
      </c>
      <c r="E263" s="6" t="s">
        <v>575</v>
      </c>
      <c r="F263" s="6" t="s">
        <v>1283</v>
      </c>
      <c r="G263" s="6" t="s">
        <v>90</v>
      </c>
    </row>
    <row r="264" spans="1:7" x14ac:dyDescent="0.25">
      <c r="A264" s="6">
        <v>263</v>
      </c>
      <c r="B264" s="6" t="s">
        <v>31</v>
      </c>
      <c r="C264" s="6" t="s">
        <v>1284</v>
      </c>
      <c r="D264" s="6" t="s">
        <v>1285</v>
      </c>
      <c r="E264" s="6" t="s">
        <v>25</v>
      </c>
      <c r="F264" s="6" t="s">
        <v>1286</v>
      </c>
      <c r="G264" s="6" t="s">
        <v>90</v>
      </c>
    </row>
    <row r="265" spans="1:7" x14ac:dyDescent="0.25">
      <c r="A265" s="6">
        <v>264</v>
      </c>
      <c r="B265" s="6" t="s">
        <v>31</v>
      </c>
      <c r="C265" s="6" t="s">
        <v>1287</v>
      </c>
      <c r="D265" s="6" t="s">
        <v>1288</v>
      </c>
      <c r="E265" s="6" t="s">
        <v>24</v>
      </c>
      <c r="F265" s="6" t="s">
        <v>1289</v>
      </c>
      <c r="G265" s="6" t="s">
        <v>1290</v>
      </c>
    </row>
    <row r="266" spans="1:7" x14ac:dyDescent="0.25">
      <c r="A266" s="6">
        <v>265</v>
      </c>
      <c r="B266" s="6" t="s">
        <v>31</v>
      </c>
      <c r="C266" s="6" t="s">
        <v>1291</v>
      </c>
      <c r="D266" s="6" t="s">
        <v>1292</v>
      </c>
      <c r="E266" s="6" t="s">
        <v>494</v>
      </c>
      <c r="F266" s="6" t="s">
        <v>1293</v>
      </c>
      <c r="G266" s="6" t="s">
        <v>90</v>
      </c>
    </row>
    <row r="267" spans="1:7" x14ac:dyDescent="0.25">
      <c r="A267" s="6">
        <v>266</v>
      </c>
      <c r="B267" s="6" t="s">
        <v>31</v>
      </c>
      <c r="C267" s="6" t="s">
        <v>1294</v>
      </c>
      <c r="D267" s="6" t="s">
        <v>1295</v>
      </c>
      <c r="E267" s="6" t="s">
        <v>24</v>
      </c>
      <c r="F267" s="6" t="s">
        <v>1296</v>
      </c>
      <c r="G267" s="6" t="s">
        <v>1297</v>
      </c>
    </row>
    <row r="268" spans="1:7" x14ac:dyDescent="0.25">
      <c r="A268" s="6">
        <v>267</v>
      </c>
      <c r="B268" s="6" t="s">
        <v>31</v>
      </c>
      <c r="C268" s="6" t="s">
        <v>1298</v>
      </c>
      <c r="D268" s="6" t="s">
        <v>1299</v>
      </c>
      <c r="E268" s="6" t="s">
        <v>24</v>
      </c>
      <c r="F268" s="6" t="s">
        <v>1300</v>
      </c>
      <c r="G268" s="6" t="s">
        <v>786</v>
      </c>
    </row>
    <row r="269" spans="1:7" x14ac:dyDescent="0.25">
      <c r="A269" s="6">
        <v>268</v>
      </c>
      <c r="B269" s="6" t="s">
        <v>31</v>
      </c>
      <c r="C269" s="6" t="s">
        <v>1301</v>
      </c>
      <c r="D269" s="6" t="s">
        <v>1302</v>
      </c>
      <c r="E269" s="6" t="s">
        <v>24</v>
      </c>
      <c r="F269" s="6" t="s">
        <v>1303</v>
      </c>
      <c r="G269" s="6" t="s">
        <v>1304</v>
      </c>
    </row>
    <row r="270" spans="1:7" x14ac:dyDescent="0.25">
      <c r="A270" s="6">
        <v>269</v>
      </c>
      <c r="B270" s="6" t="s">
        <v>31</v>
      </c>
      <c r="C270" s="6" t="s">
        <v>1305</v>
      </c>
      <c r="D270" s="6" t="s">
        <v>1306</v>
      </c>
      <c r="E270" s="6" t="s">
        <v>498</v>
      </c>
      <c r="F270" s="6" t="s">
        <v>1307</v>
      </c>
      <c r="G270" s="6" t="s">
        <v>90</v>
      </c>
    </row>
    <row r="271" spans="1:7" x14ac:dyDescent="0.25">
      <c r="A271" s="6">
        <v>270</v>
      </c>
      <c r="B271" s="6" t="s">
        <v>31</v>
      </c>
      <c r="C271" s="6" t="s">
        <v>1308</v>
      </c>
      <c r="D271" s="6" t="s">
        <v>1309</v>
      </c>
      <c r="E271" s="6" t="s">
        <v>414</v>
      </c>
      <c r="F271" s="6" t="s">
        <v>1310</v>
      </c>
      <c r="G271" s="6" t="s">
        <v>641</v>
      </c>
    </row>
    <row r="272" spans="1:7" x14ac:dyDescent="0.25">
      <c r="A272" s="6">
        <v>271</v>
      </c>
      <c r="B272" s="6" t="s">
        <v>31</v>
      </c>
      <c r="C272" s="6" t="s">
        <v>1311</v>
      </c>
      <c r="D272" s="6" t="s">
        <v>1312</v>
      </c>
      <c r="E272" s="6" t="s">
        <v>376</v>
      </c>
      <c r="F272" s="6" t="s">
        <v>1313</v>
      </c>
      <c r="G272" s="6" t="s">
        <v>1314</v>
      </c>
    </row>
    <row r="273" spans="1:7" x14ac:dyDescent="0.25">
      <c r="A273" s="6">
        <v>272</v>
      </c>
      <c r="B273" s="6" t="s">
        <v>31</v>
      </c>
      <c r="C273" s="6" t="s">
        <v>1315</v>
      </c>
      <c r="D273" s="6" t="s">
        <v>1316</v>
      </c>
      <c r="E273" s="6" t="s">
        <v>575</v>
      </c>
      <c r="F273" s="6" t="s">
        <v>1317</v>
      </c>
      <c r="G273" s="6" t="s">
        <v>90</v>
      </c>
    </row>
    <row r="274" spans="1:7" x14ac:dyDescent="0.25">
      <c r="A274" s="6">
        <v>273</v>
      </c>
      <c r="B274" s="6" t="s">
        <v>31</v>
      </c>
      <c r="C274" s="6" t="s">
        <v>1318</v>
      </c>
      <c r="D274" s="6" t="s">
        <v>1319</v>
      </c>
      <c r="E274" s="6" t="s">
        <v>376</v>
      </c>
      <c r="F274" s="6" t="s">
        <v>1320</v>
      </c>
      <c r="G274" s="6" t="s">
        <v>1321</v>
      </c>
    </row>
    <row r="275" spans="1:7" x14ac:dyDescent="0.25">
      <c r="A275" s="6">
        <v>274</v>
      </c>
      <c r="B275" s="6" t="s">
        <v>31</v>
      </c>
      <c r="C275" s="6" t="s">
        <v>1322</v>
      </c>
      <c r="D275" s="6" t="s">
        <v>1323</v>
      </c>
      <c r="E275" s="6" t="s">
        <v>494</v>
      </c>
      <c r="F275" s="6" t="s">
        <v>1324</v>
      </c>
      <c r="G275" s="6" t="s">
        <v>90</v>
      </c>
    </row>
    <row r="276" spans="1:7" x14ac:dyDescent="0.25">
      <c r="A276" s="6">
        <v>275</v>
      </c>
      <c r="B276" s="6" t="s">
        <v>31</v>
      </c>
      <c r="C276" s="6" t="s">
        <v>1325</v>
      </c>
      <c r="D276" s="6" t="s">
        <v>1326</v>
      </c>
      <c r="E276" s="6" t="s">
        <v>570</v>
      </c>
      <c r="F276" s="6" t="s">
        <v>1327</v>
      </c>
      <c r="G276" s="6" t="s">
        <v>1328</v>
      </c>
    </row>
    <row r="277" spans="1:7" x14ac:dyDescent="0.25">
      <c r="A277" s="6">
        <v>276</v>
      </c>
      <c r="B277" s="6" t="s">
        <v>31</v>
      </c>
      <c r="C277" s="6" t="s">
        <v>1329</v>
      </c>
      <c r="D277" s="6" t="s">
        <v>1330</v>
      </c>
      <c r="E277" s="6" t="s">
        <v>24</v>
      </c>
      <c r="F277" s="6" t="s">
        <v>1331</v>
      </c>
      <c r="G277" s="6" t="s">
        <v>1332</v>
      </c>
    </row>
    <row r="278" spans="1:7" x14ac:dyDescent="0.25">
      <c r="A278" s="6">
        <v>277</v>
      </c>
      <c r="B278" s="6" t="s">
        <v>31</v>
      </c>
      <c r="C278" s="6" t="s">
        <v>1333</v>
      </c>
      <c r="D278" s="6" t="s">
        <v>1334</v>
      </c>
      <c r="E278" s="6" t="s">
        <v>570</v>
      </c>
      <c r="F278" s="6" t="s">
        <v>1335</v>
      </c>
      <c r="G278" s="6" t="s">
        <v>1336</v>
      </c>
    </row>
    <row r="279" spans="1:7" x14ac:dyDescent="0.25">
      <c r="A279" s="6">
        <v>278</v>
      </c>
      <c r="B279" s="6" t="s">
        <v>31</v>
      </c>
      <c r="C279" s="6" t="s">
        <v>1337</v>
      </c>
      <c r="D279" s="6" t="s">
        <v>1338</v>
      </c>
      <c r="E279" s="6" t="s">
        <v>622</v>
      </c>
      <c r="F279" s="6" t="s">
        <v>1339</v>
      </c>
      <c r="G279" s="6" t="s">
        <v>1340</v>
      </c>
    </row>
    <row r="280" spans="1:7" x14ac:dyDescent="0.25">
      <c r="A280" s="6">
        <v>279</v>
      </c>
      <c r="B280" s="6" t="s">
        <v>31</v>
      </c>
      <c r="C280" s="6" t="s">
        <v>1341</v>
      </c>
      <c r="D280" s="6" t="s">
        <v>1342</v>
      </c>
      <c r="E280" s="6" t="s">
        <v>622</v>
      </c>
      <c r="F280" s="6" t="s">
        <v>1343</v>
      </c>
      <c r="G280" s="6" t="s">
        <v>806</v>
      </c>
    </row>
    <row r="281" spans="1:7" x14ac:dyDescent="0.25">
      <c r="A281" s="6">
        <v>280</v>
      </c>
      <c r="B281" s="6" t="s">
        <v>31</v>
      </c>
      <c r="C281" s="6" t="s">
        <v>1344</v>
      </c>
      <c r="D281" s="6" t="s">
        <v>1345</v>
      </c>
      <c r="E281" s="6" t="s">
        <v>622</v>
      </c>
      <c r="F281" s="6" t="s">
        <v>1346</v>
      </c>
      <c r="G281" s="6" t="s">
        <v>1347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46" customWidth="1"/>
    <col min="2" max="2" width="14" customWidth="1"/>
    <col min="3" max="3" width="70" customWidth="1"/>
  </cols>
  <sheetData>
    <row r="1" spans="1:3" x14ac:dyDescent="0.25">
      <c r="A1" s="1" t="s">
        <v>1348</v>
      </c>
      <c r="B1" s="13"/>
      <c r="C1" s="6" t="s">
        <v>90</v>
      </c>
    </row>
    <row r="2" spans="1:3" x14ac:dyDescent="0.25">
      <c r="A2" s="14" t="s">
        <v>1349</v>
      </c>
      <c r="B2" s="13"/>
      <c r="C2" s="6" t="s">
        <v>90</v>
      </c>
    </row>
    <row r="3" spans="1:3" x14ac:dyDescent="0.25">
      <c r="A3" s="13" t="s">
        <v>1350</v>
      </c>
      <c r="B3" s="15"/>
      <c r="C3" s="6" t="s">
        <v>1351</v>
      </c>
    </row>
    <row r="4" spans="1:3" x14ac:dyDescent="0.25">
      <c r="A4" s="13" t="s">
        <v>1352</v>
      </c>
      <c r="B4" s="15"/>
      <c r="C4" s="6" t="s">
        <v>1353</v>
      </c>
    </row>
    <row r="5" spans="1:3" x14ac:dyDescent="0.25">
      <c r="A5" s="14" t="s">
        <v>1354</v>
      </c>
      <c r="B5" s="13"/>
      <c r="C5" s="6" t="s">
        <v>90</v>
      </c>
    </row>
    <row r="6" spans="1:3" x14ac:dyDescent="0.25">
      <c r="A6" s="13" t="s">
        <v>1355</v>
      </c>
      <c r="B6" s="13">
        <f>COUNTA(Candidates!$C$5:$C$39)</f>
      </c>
      <c r="C6" s="6" t="s">
        <v>1356</v>
      </c>
    </row>
    <row r="7" spans="1:3" x14ac:dyDescent="0.25">
      <c r="A7" s="13" t="s">
        <v>1357</v>
      </c>
      <c r="B7" s="13">
        <f>COUNTIF(Candidates!$N$5:$N$39,"yes")+COUNTIF(Candidates!$N$5:$N$39,"maybe")+COUNTIF(Candidates!$N$5:$N$39,"no")</f>
      </c>
      <c r="C7" s="6" t="s">
        <v>1358</v>
      </c>
    </row>
    <row r="8" spans="1:3" x14ac:dyDescent="0.25">
      <c r="A8" s="13" t="s">
        <v>1359</v>
      </c>
      <c r="B8" s="13">
        <f>COUNTIF(Candidates!$N$5:$N$39,"yes")</f>
      </c>
      <c r="C8" s="6" t="s">
        <v>90</v>
      </c>
    </row>
    <row r="9" spans="1:3" x14ac:dyDescent="0.25">
      <c r="A9" s="13" t="s">
        <v>1360</v>
      </c>
      <c r="B9" s="13">
        <f>COUNTIF(Candidates!$N$5:$N$39,"maybe")</f>
      </c>
      <c r="C9" s="6" t="s">
        <v>90</v>
      </c>
    </row>
    <row r="10" spans="1:3" x14ac:dyDescent="0.25">
      <c r="A10" s="13" t="s">
        <v>1361</v>
      </c>
      <c r="B10" s="13">
        <f>COUNTIF(Candidates!$N$5:$N$39,"no")</f>
      </c>
      <c r="C10" s="6" t="s">
        <v>90</v>
      </c>
    </row>
    <row r="11" spans="1:3" x14ac:dyDescent="0.25">
      <c r="A11" s="13" t="s">
        <v>1362</v>
      </c>
      <c r="B11" s="16">
        <f>IF(B6=0,0,B8/B6)</f>
      </c>
      <c r="C11" s="6" t="s">
        <v>1363</v>
      </c>
    </row>
    <row r="12" spans="1:3" x14ac:dyDescent="0.25">
      <c r="A12" s="13" t="s">
        <v>1364</v>
      </c>
      <c r="B12" s="16">
        <f>IF(B6=0,0,(B8+B9)/B6)</f>
      </c>
      <c r="C12" s="6" t="s">
        <v>90</v>
      </c>
    </row>
    <row r="13" spans="1:3" x14ac:dyDescent="0.25">
      <c r="A13" s="13" t="s">
        <v>1365</v>
      </c>
      <c r="B13" s="16">
        <f>COUNTIFS(Candidates!$A$5:$A$39,"&lt;=10",Candidates!$N$5:$N$39,"yes")/10</f>
      </c>
      <c r="C13" s="6" t="s">
        <v>1366</v>
      </c>
    </row>
    <row r="14" spans="1:3" x14ac:dyDescent="0.25">
      <c r="A14" s="13" t="s">
        <v>1367</v>
      </c>
      <c r="B14" s="16">
        <f>COUNTIFS(Candidates!$S$5:$S$39,"&lt;=10",Candidates!$N$5:$N$39,"yes")/10</f>
      </c>
      <c r="C14" s="6" t="s">
        <v>1368</v>
      </c>
    </row>
    <row r="15" spans="1:3" x14ac:dyDescent="0.25">
      <c r="A15" s="13" t="s">
        <v>1369</v>
      </c>
      <c r="B15" s="13">
        <f>COUNTIF(Candidates!$M$5:$M$39,"Shortlist")</f>
      </c>
      <c r="C15" s="6" t="s">
        <v>1370</v>
      </c>
    </row>
    <row r="16" spans="1:3" x14ac:dyDescent="0.25">
      <c r="A16" s="13" t="s">
        <v>1371</v>
      </c>
      <c r="B16" s="13">
        <f>SUM(Candidates!$P$5:$P$39)</f>
      </c>
      <c r="C16" s="6" t="s">
        <v>1372</v>
      </c>
    </row>
    <row r="17" spans="1:3" x14ac:dyDescent="0.25">
      <c r="A17" s="13" t="s">
        <v>1373</v>
      </c>
      <c r="B17" s="17">
        <f>IF(B8=0,0,B4/60/B8)</f>
      </c>
      <c r="C17" s="6" t="s">
        <v>1374</v>
      </c>
    </row>
    <row r="18" spans="1:3" x14ac:dyDescent="0.25">
      <c r="A18" s="14" t="s">
        <v>1375</v>
      </c>
      <c r="B18" s="13"/>
      <c r="C18" s="6" t="s">
        <v>90</v>
      </c>
    </row>
    <row r="19" spans="1:3" x14ac:dyDescent="0.25">
      <c r="A19" s="13" t="s">
        <v>1376</v>
      </c>
      <c r="B19" s="13" t="s">
        <v>1377</v>
      </c>
      <c r="C19" s="6" t="s">
        <v>90</v>
      </c>
    </row>
    <row r="20" spans="1:3" x14ac:dyDescent="0.25">
      <c r="A20" s="13" t="s">
        <v>1378</v>
      </c>
      <c r="B20" s="13" t="s">
        <v>1379</v>
      </c>
      <c r="C20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6" customWidth="1"/>
    <col min="2" max="2" width="26" customWidth="1"/>
    <col min="3" max="3" width="30" customWidth="1"/>
    <col min="4" max="4" width="34" customWidth="1"/>
    <col min="5" max="5" width="30" customWidth="1"/>
  </cols>
  <sheetData>
    <row r="1" ht="30" customHeight="1" spans="1:5" x14ac:dyDescent="0.25">
      <c r="A1" s="4" t="s">
        <v>1380</v>
      </c>
      <c r="B1" s="18" t="s">
        <v>1381</v>
      </c>
      <c r="C1" s="19" t="s">
        <v>1382</v>
      </c>
      <c r="D1" s="20" t="s">
        <v>1383</v>
      </c>
      <c r="E1" s="4" t="s">
        <v>1384</v>
      </c>
    </row>
    <row r="2" spans="1:5" x14ac:dyDescent="0.25">
      <c r="A2" s="6" t="s">
        <v>1385</v>
      </c>
      <c r="B2" s="6" t="s">
        <v>1386</v>
      </c>
      <c r="C2" s="6" t="s">
        <v>1387</v>
      </c>
      <c r="D2" s="6" t="s">
        <v>1388</v>
      </c>
      <c r="E2" s="6" t="s">
        <v>1389</v>
      </c>
    </row>
    <row r="3" spans="1:5" x14ac:dyDescent="0.25">
      <c r="A3" s="6" t="s">
        <v>8</v>
      </c>
      <c r="B3" s="6" t="s">
        <v>1390</v>
      </c>
      <c r="C3" s="6" t="s">
        <v>1391</v>
      </c>
      <c r="D3" s="6" t="s">
        <v>1392</v>
      </c>
      <c r="E3" s="6" t="s">
        <v>1393</v>
      </c>
    </row>
    <row r="4" spans="1:5" x14ac:dyDescent="0.25">
      <c r="A4" s="6" t="s">
        <v>1394</v>
      </c>
      <c r="B4" s="6" t="s">
        <v>1395</v>
      </c>
      <c r="C4" s="6" t="s">
        <v>1396</v>
      </c>
      <c r="D4" s="6" t="s">
        <v>1397</v>
      </c>
      <c r="E4" s="6" t="s">
        <v>1393</v>
      </c>
    </row>
    <row r="5" spans="1:5" x14ac:dyDescent="0.25">
      <c r="A5" s="6" t="s">
        <v>1398</v>
      </c>
      <c r="B5" s="6" t="s">
        <v>1399</v>
      </c>
      <c r="C5" s="6" t="s">
        <v>1400</v>
      </c>
      <c r="D5" s="6" t="s">
        <v>1401</v>
      </c>
      <c r="E5" s="6" t="s">
        <v>1393</v>
      </c>
    </row>
    <row r="6" spans="1:5" x14ac:dyDescent="0.25">
      <c r="A6" s="6" t="s">
        <v>1402</v>
      </c>
      <c r="B6" s="6" t="s">
        <v>1403</v>
      </c>
      <c r="C6" s="6" t="s">
        <v>1404</v>
      </c>
      <c r="D6" s="6" t="s">
        <v>1405</v>
      </c>
      <c r="E6" s="6" t="s">
        <v>1393</v>
      </c>
    </row>
    <row r="7" spans="1:5" x14ac:dyDescent="0.25">
      <c r="A7" s="6" t="s">
        <v>1406</v>
      </c>
      <c r="B7" s="6" t="s">
        <v>1407</v>
      </c>
      <c r="C7" s="6" t="s">
        <v>1408</v>
      </c>
      <c r="D7" s="6" t="s">
        <v>1409</v>
      </c>
      <c r="E7" s="6" t="s">
        <v>1410</v>
      </c>
    </row>
    <row r="8" spans="1:5" x14ac:dyDescent="0.25">
      <c r="A8" s="6" t="s">
        <v>13</v>
      </c>
      <c r="B8" s="6" t="s">
        <v>1411</v>
      </c>
      <c r="C8" s="6" t="s">
        <v>1412</v>
      </c>
      <c r="D8" s="6" t="s">
        <v>1413</v>
      </c>
      <c r="E8" s="6" t="s">
        <v>1414</v>
      </c>
    </row>
    <row r="9" spans="1:5" x14ac:dyDescent="0.25">
      <c r="A9" s="6" t="s">
        <v>14</v>
      </c>
      <c r="B9" s="6" t="s">
        <v>1415</v>
      </c>
      <c r="C9" s="6" t="s">
        <v>1416</v>
      </c>
      <c r="D9" s="6" t="s">
        <v>1417</v>
      </c>
      <c r="E9" s="6" t="s">
        <v>1418</v>
      </c>
    </row>
    <row r="10" spans="1:5" x14ac:dyDescent="0.25">
      <c r="A10" s="6" t="s">
        <v>1419</v>
      </c>
      <c r="B10" s="6" t="s">
        <v>1420</v>
      </c>
      <c r="C10" s="6" t="s">
        <v>1421</v>
      </c>
      <c r="D10" s="6" t="s">
        <v>1422</v>
      </c>
      <c r="E10" s="6" t="s">
        <v>1423</v>
      </c>
    </row>
    <row r="12" spans="1:1" x14ac:dyDescent="0.25">
      <c r="A12" s="21" t="s">
        <v>1424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Candidates</vt:lpstr>
      <vt:lpstr>Score reasons</vt:lpstr>
      <vt:lpstr>Gated out</vt:lpstr>
      <vt:lpstr>Summary</vt:lpstr>
      <vt:lpstr>Rubric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opportunity-finder scout</dc:creator>
  <dc:title/>
  <dc:subject/>
  <dc:description/>
  <cp:keywords/>
  <cp:category/>
  <cp:lastModifiedBy>Unknown</cp:lastModifiedBy>
  <dcterms:created xsi:type="dcterms:W3CDTF">2026-10-05T13:23:04Z</dcterms:created>
  <dcterms:modified xsi:type="dcterms:W3CDTF">2026-10-05T13:23:04Z</dcterms:modified>
</cp:coreProperties>
</file>