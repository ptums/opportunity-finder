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Candidates" state="visible" r:id="rId4"/>
    <sheet sheetId="2" name="Score reasons" state="visible" r:id="rId5"/>
    <sheet sheetId="3" name="Summary" state="visible" r:id="rId6"/>
    <sheet sheetId="4" name="Rubric" state="visible" r:id="rId7"/>
  </sheets>
  <calcPr calcId="171027" fullCalcOnLoad="1"/>
</workbook>
</file>

<file path=xl/sharedStrings.xml><?xml version="1.0" encoding="utf-8"?>
<sst xmlns="http://schemas.openxmlformats.org/spreadsheetml/2006/main" count="465" uniqueCount="219">
  <si>
    <t>Phase 0 candidates</t>
  </si>
  <si>
    <t>You can edit the six score columns (1–3), Pursue? and Notes (light blue). Total, Band, and the Summary sheet recalculate. Example: Pursue? = maybe, Notes = "talk to 2 bookkeepers before deciding". Grey columns are the scout's original output for comparison.</t>
  </si>
  <si>
    <t>Colors: higher is better. Green = good (score 3, Total 15+, Shortlist). Yellow = neutral (score 2, Total 10–14). Red = weak (score 1, Total under 10, Drop).</t>
  </si>
  <si>
    <t>#</t>
  </si>
  <si>
    <t>Source</t>
  </si>
  <si>
    <t>Problem</t>
  </si>
  <si>
    <t>Link</t>
  </si>
  <si>
    <t>Freq</t>
  </si>
  <si>
    <t>Pain</t>
  </si>
  <si>
    <t>Messy</t>
  </si>
  <si>
    <t>Backend</t>
  </si>
  <si>
    <t>Reach</t>
  </si>
  <si>
    <t>Free data</t>
  </si>
  <si>
    <t>Total</t>
  </si>
  <si>
    <t>Band</t>
  </si>
  <si>
    <t>Pursue?</t>
  </si>
  <si>
    <t>Notes</t>
  </si>
  <si>
    <t>Scores changed</t>
  </si>
  <si>
    <t>Scout total</t>
  </si>
  <si>
    <t>Rules-only total</t>
  </si>
  <si>
    <t>Rules-only rank</t>
  </si>
  <si>
    <t>Original title</t>
  </si>
  <si>
    <t>HN</t>
  </si>
  <si>
    <t>Small businesses struggle with repetitive, rule-based accounting tasks.</t>
  </si>
  <si>
    <t>open</t>
  </si>
  <si>
    <t>Tell HN: AI coding is sexy, but accounting is the real low-hanging target</t>
  </si>
  <si>
    <t>Founders manually split revenue into multiple accounts monthly.</t>
  </si>
  <si>
    <t>Does "Zapier for payment automation" exist?</t>
  </si>
  <si>
    <t>A family business uses a 1993-era TUI for core operations.</t>
  </si>
  <si>
    <t>My family business runs on a 1993-era text-based-UI (TUI). Anybody else?</t>
  </si>
  <si>
    <t>Senior engineers struggle to understand historical engineering decisions in a codebase.</t>
  </si>
  <si>
    <t>How do you capture WHY engineering decisions were made, not just what?</t>
  </si>
  <si>
    <t>Users face increasing barriers to access online services due to overzealous security measures.</t>
  </si>
  <si>
    <t>Internet is no longer accessible?</t>
  </si>
  <si>
    <t>Resellers waste time researching items and miss deals due to slow analysis.</t>
  </si>
  <si>
    <t>Built an AI-powered profit calculator and inventory tracker app for resellers</t>
  </si>
  <si>
    <t>Principal engineers struggle to trust AI with design decisions in complex codebases.</t>
  </si>
  <si>
    <t>Is AI slowing you down?</t>
  </si>
  <si>
    <t>Network engineers struggle to maintain accurate, up-to-date documentation of network relationships.</t>
  </si>
  <si>
    <t>Why is network documentation still a scavenger hunt for the truth?</t>
  </si>
  <si>
    <t>Freelancers lose time and revenue due to fragmented tools and workflows.</t>
  </si>
  <si>
    <t>Freelancers are losing ~30% of their time and revenue to tool fragmentation</t>
  </si>
  <si>
    <t>GitHub users experience inconsistent release visibility and UI errors across regions.</t>
  </si>
  <si>
    <t>Is GitHub becoming more and more unstable?</t>
  </si>
  <si>
    <t>Developers struggle to maintain accurate call state and real-time billing in browser-based VoIP.</t>
  </si>
  <si>
    <t>Building CallSpark (browser based VoIP): what I learned and what caused pain</t>
  </si>
  <si>
    <t>Architectural startups need automated 3D geometry extraction from 2D floor plans.</t>
  </si>
  <si>
    <t>Instance segmentation model that extracts 3D geometry from 2D floor plans</t>
  </si>
  <si>
    <t>USAspending</t>
  </si>
  <si>
    <t>Agencies repeatedly buy "data entry" services</t>
  </si>
  <si>
    <t>Agencies repeatedly buy "records management" services</t>
  </si>
  <si>
    <t>Agencies repeatedly buy "digitization" services</t>
  </si>
  <si>
    <t>Agencies repeatedly buy "reconciliation" services</t>
  </si>
  <si>
    <t>Agencies repeatedly buy "case management system" services</t>
  </si>
  <si>
    <t>Agencies repeatedly buy "grants management" services</t>
  </si>
  <si>
    <t>Agencies repeatedly buy "data cleansing" services</t>
  </si>
  <si>
    <t>Agencies repeatedly buy "legacy system modernization" services</t>
  </si>
  <si>
    <t>Freq (orig)</t>
  </si>
  <si>
    <t>Freq method</t>
  </si>
  <si>
    <t>Freq reason</t>
  </si>
  <si>
    <t>Pain (orig)</t>
  </si>
  <si>
    <t>Pain method</t>
  </si>
  <si>
    <t>Pain reason</t>
  </si>
  <si>
    <t>Messy (orig)</t>
  </si>
  <si>
    <t>Messy method</t>
  </si>
  <si>
    <t>Messy reason</t>
  </si>
  <si>
    <t>Backend (orig)</t>
  </si>
  <si>
    <t>Backend method</t>
  </si>
  <si>
    <t>Backend reason</t>
  </si>
  <si>
    <t>Reach (orig)</t>
  </si>
  <si>
    <t>Reach method</t>
  </si>
  <si>
    <t>Reach reason</t>
  </si>
  <si>
    <t>Free data (orig)</t>
  </si>
  <si>
    <t>Free data method</t>
  </si>
  <si>
    <t>Free data reason</t>
  </si>
  <si>
    <t>rule</t>
  </si>
  <si>
    <t>55 comments, matched 1 phrases</t>
  </si>
  <si>
    <t>qwen3:8b (judge-v1)</t>
  </si>
  <si>
    <t>The post states: 'Humans hate this work. Software loves it.'</t>
  </si>
  <si>
    <t>The post mentions: 'normalize data from banks / cards / invoices'.</t>
  </si>
  <si>
    <t>The post describes: 'apply deterministic or configurable rules, surface exceptions'.</t>
  </si>
  <si>
    <t>The post targets: 'small-business level accounting teams'.</t>
  </si>
  <si>
    <t>default: unknown, assume partly public</t>
  </si>
  <si>
    <t>18 comments, matched 1 phrases</t>
  </si>
  <si>
    <t>Spends 3 hours/month on manual splitting $15K revenue.</t>
  </si>
  <si>
    <t>Data spread across Stripe, Zapier, manual scripts, and escrow.</t>
  </si>
  <si>
    <t>Involves real ingestion, matching, and storage of financial flows.</t>
  </si>
  <si>
    <t>Specific group: founders with revenue splitting needs. Can message 5 via forums or networks.</t>
  </si>
  <si>
    <t>309 comments, matched 1 phrases</t>
  </si>
  <si>
    <t>They've spent years maintaining a brittle system with no modern alternatives.</t>
  </si>
  <si>
    <t>Data is spread across multiple systems with no shared key (XP machine, TUI, modern scripts).</t>
  </si>
  <si>
    <t>Involves data ingestion, matching, and storage via scripts and telnet.</t>
  </si>
  <si>
    <t>Specific group: family businesses using legacy TUI systems for core operations.</t>
  </si>
  <si>
    <t>64 comments, matched 1 phrases</t>
  </si>
  <si>
    <t>He spent 3 weeks playing code archaeologist to find reasoning behind code decisions.</t>
  </si>
  <si>
    <t>Answers were buried in closed PRs, Slack threads, and departed engineers' knowledge.</t>
  </si>
  <si>
    <t>We tried ADRs, PR templates, and Notion docs, all manually maintained and outdated.</t>
  </si>
  <si>
    <t>Curious how teams at HN handle this: 1. Do you have a system that actually works long-term? 2. Has anyone automated any part of this? 3. Or is everyone quietly suffering through this on every new hire?</t>
  </si>
  <si>
    <t>25 comments, matched 1 phrases</t>
  </si>
  <si>
    <t>Website blocks copy paste, so you have to manually type everything.</t>
  </si>
  <si>
    <t>Registering a new Google account requires a phone number, and I also need to install app to prove I am not a bot.</t>
  </si>
  <si>
    <t>MFA codes sent to my phone do not seem to work properly.</t>
  </si>
  <si>
    <t>Everyone assumes you are bot. /no_really</t>
  </si>
  <si>
    <t>0 comments, matched 1 phrase</t>
  </si>
  <si>
    <t>You waste time and miss deals while researching (someone else grabs it).</t>
  </si>
  <si>
    <t>Researching items takes ~5 minutes per item You buy blindly and hope for the best</t>
  </si>
  <si>
    <t>AI identifies the item → Get instant analysis: Profit potential after all fees ROI percentage</t>
  </si>
  <si>
    <t>Active users in flipping community What I'm Working On More accurate valuations for niche items</t>
  </si>
  <si>
    <t>13 comments, matched 1 phrases</t>
  </si>
  <si>
    <t>Work required to build detailed specs and review AI changes is explicitly stated as time-consuming.</t>
  </si>
  <si>
    <t>Codebase is described as 'massive' and requires precise updates, implying inconsistent or missing data.</t>
  </si>
  <si>
    <t>Involves 'agents to build complex features' and 'updating codebase', indicating real ingestion, matching, and storage.</t>
  </si>
  <si>
    <t>Specific group: principal engineers working on large, complex codebases with AI integration.</t>
  </si>
  <si>
    <t>‘Eventually the real topology lives in people’s heads and you get the classic: “Don’t touch that!”’</t>
  </si>
  <si>
    <t>‘Whatever you call the “source of truth” [...] almost always diverges from the running state.’</t>
  </si>
  <si>
    <t>‘Most teams still end up maintaining heavy documents, or growing forest of scripts to parse all sorts of information’</t>
  </si>
  <si>
    <t>‘I’d love to listen your “this never works” stories’ implies a specific group of network engineers and DevOps professionals.</t>
  </si>
  <si>
    <t>1 comments, matched 1 phrase</t>
  </si>
  <si>
    <t>One freelancer lost ₹70,000 in a client dispute due to poor tracking.</t>
  </si>
  <si>
    <t>Projects sit in Gmail, portfolios in Notion, payments on random links, and invoices in spreadsheets.</t>
  </si>
  <si>
    <t>Involves real ingestion, matching, and storage of data across systems.</t>
  </si>
  <si>
    <t>A specific group: freelancers and small agency owners who manage client work.</t>
  </si>
  <si>
    <t>4 comments, matched 1 phrase</t>
  </si>
  <si>
    <t>Users had to unpublish and re-publish, and re-test manually due to UI issues.</t>
  </si>
  <si>
    <t>Release visibility differed by region, and UI issues were inconsistent across systems.</t>
  </si>
  <si>
    <t>Involves real ingestion, matching, and storage of release data across global systems.</t>
  </si>
  <si>
    <t>Specific group: software teams using GitHub for release management and CI/CD.</t>
  </si>
  <si>
    <t>The post states 'you quickly run into edge cases' and 'reconcile without double-charging'.</t>
  </si>
  <si>
    <t>Call state is 'spread across several systems with no shared key' due to UI and backend disconnection.</t>
  </si>
  <si>
    <t>The post describes 'real ingestion, matching, and storage' with a periodic worker and reconciliation.</t>
  </si>
  <si>
    <t>The post targets 'developers building real-time billing for VoIP' who can be found in relevant communities or job roles.</t>
  </si>
  <si>
    <t>They rely on human data entry, which is time-consuming and costly.</t>
  </si>
  <si>
    <t>2D floor plans are messy, highly occluded, and contain intersecting elements.</t>
  </si>
  <si>
    <t>Involves real ingestion, matching, and storage of structured 3D geometry data.</t>
  </si>
  <si>
    <t>Specific group: PropTech startups and product builders in that space.</t>
  </si>
  <si>
    <t>16 agencies, 300 awards</t>
  </si>
  <si>
    <t>$333.3M spent in window</t>
  </si>
  <si>
    <t>0 vendor names with multiple spellings</t>
  </si>
  <si>
    <t>data-processing service by keyword choice</t>
  </si>
  <si>
    <t>government buyers are hard to reach (guess; vendors may be easier)</t>
  </si>
  <si>
    <t>USAspending is public</t>
  </si>
  <si>
    <t>31 agencies, 300 awards</t>
  </si>
  <si>
    <t>$1.5B spent in window</t>
  </si>
  <si>
    <t>21 agencies, 96 awards</t>
  </si>
  <si>
    <t>$229.5M spent in window</t>
  </si>
  <si>
    <t>12 agencies, 38 awards</t>
  </si>
  <si>
    <t>$480.2M spent in window</t>
  </si>
  <si>
    <t>24 agencies, 84 awards</t>
  </si>
  <si>
    <t>$362.2M spent in window</t>
  </si>
  <si>
    <t>18 agencies, 81 awards</t>
  </si>
  <si>
    <t>$438.2M spent in window</t>
  </si>
  <si>
    <t>2 agencies, 2 awards</t>
  </si>
  <si>
    <t>$4.1M spent in window</t>
  </si>
  <si>
    <t>$3.0M spent in window</t>
  </si>
  <si>
    <t>Phase 0 summary</t>
  </si>
  <si>
    <t/>
  </si>
  <si>
    <t>Inputs (fill in)</t>
  </si>
  <si>
    <t>Manual search minutes before abandoning</t>
  </si>
  <si>
    <t>From your timer: start 10:39 PM on 2026-10-03 to when you stopped. Enter minutes.</t>
  </si>
  <si>
    <t>Minutes spent reviewing this workbook</t>
  </si>
  <si>
    <t>Start a timer when you open this file; enter minutes when done.</t>
  </si>
  <si>
    <t>Results (formulas)</t>
  </si>
  <si>
    <t>Candidates</t>
  </si>
  <si>
    <t>Rows on the Candidates sheet.</t>
  </si>
  <si>
    <t>Labeled</t>
  </si>
  <si>
    <t>Rows with Pursue? filled in.</t>
  </si>
  <si>
    <t>Pursue = yes</t>
  </si>
  <si>
    <t>Pursue = maybe</t>
  </si>
  <si>
    <t>Pursue = no</t>
  </si>
  <si>
    <t>Precision of top 20 (yes ÷ candidates)</t>
  </si>
  <si>
    <t>REQUIREMENTS §9: share of the top 20 you label interesting.</t>
  </si>
  <si>
    <t>Precision, lenient (yes + maybe ÷ candidates)</t>
  </si>
  <si>
    <t>Top 10 by scout ranking: share yes</t>
  </si>
  <si>
    <t>Hybrid ranking (rows 1–10 as delivered).</t>
  </si>
  <si>
    <t>Top 10 by rules-only ranking: share yes</t>
  </si>
  <si>
    <t>Same rows ranked by rules only. Higher than the line above means the model didn't help.</t>
  </si>
  <si>
    <t>Shortlist (Total ≥ 15) after your edits</t>
  </si>
  <si>
    <t>Scores you changed</t>
  </si>
  <si>
    <t>FR-18: overrides are labels for measuring scoring quality.</t>
  </si>
  <si>
    <t>Hours per qualified opportunity (assisted)</t>
  </si>
  <si>
    <t>Review minutes ÷ 60 ÷ yes count. 0 until you enter minutes and label.</t>
  </si>
  <si>
    <t>Run info</t>
  </si>
  <si>
    <t>Generated</t>
  </si>
  <si>
    <t>2026-10-04T13:58:46.460Z</t>
  </si>
  <si>
    <t>Scoring method</t>
  </si>
  <si>
    <t>Hybrid (ADR-002): Pain, Messy, Backend, Reachable for HN by qwen3:8b (prompt judge-v1) on the top 271 HN items by rule score; everything else by rules.</t>
  </si>
  <si>
    <t>Criterion</t>
  </si>
  <si>
    <t>1</t>
  </si>
  <si>
    <t>2</t>
  </si>
  <si>
    <t>3</t>
  </si>
  <si>
    <t>Scored by</t>
  </si>
  <si>
    <t>Frequency</t>
  </si>
  <si>
    <t>Seen once</t>
  </si>
  <si>
    <t>2–3 times, or in 2 places</t>
  </si>
  <si>
    <t>Recurring across sources or many comments</t>
  </si>
  <si>
    <t>Rule</t>
  </si>
  <si>
    <t>Annoyance, no cost stated</t>
  </si>
  <si>
    <t>Time or money cost implied</t>
  </si>
  <si>
    <t>Hours or dollars stated</t>
  </si>
  <si>
    <t>Model (HN), rule (USAspending)</t>
  </si>
  <si>
    <t>Messy data</t>
  </si>
  <si>
    <t>One clean source</t>
  </si>
  <si>
    <t>Some variants or missing fields</t>
  </si>
  <si>
    <t>Several sources, no shared key</t>
  </si>
  <si>
    <t>Backend weight</t>
  </si>
  <si>
    <t>Mostly UI / forms</t>
  </si>
  <si>
    <t>Some ingestion or matching</t>
  </si>
  <si>
    <t>Real ingestion, matching, storage</t>
  </si>
  <si>
    <t>Reachable</t>
  </si>
  <si>
    <t>Can't say where they are</t>
  </si>
  <si>
    <t>Know a community</t>
  </si>
  <si>
    <t>Could message 5 this week</t>
  </si>
  <si>
    <t>Needs paid/private data</t>
  </si>
  <si>
    <t>Partly public</t>
  </si>
  <si>
    <t>Prototype fully on public data</t>
  </si>
  <si>
    <t>6–18</t>
  </si>
  <si>
    <t>≥ 15 = Shortlist</t>
  </si>
  <si>
    <t>&lt; 10 = Drop</t>
  </si>
  <si>
    <t>Higher is better: 3 is the strongest score on every criterion, 1 the weakest.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</si>
</sst>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sz val="10"/>
      <name val="Arial"/>
    </font>
    <font>
      <b/>
      <sz val="10"/>
      <name val="Arial"/>
    </font>
    <font>
      <b/>
      <color rgb="FFFFFFFF"/>
      <name val="Arial"/>
    </font>
    <font>
      <sz val="10"/>
      <name val="Arial"/>
    </font>
    <font>
      <u/>
      <color rgb="FF0563C1"/>
      <sz val="10"/>
      <name val="Arial"/>
    </font>
    <font>
      <color rgb="FF7F7F7F"/>
      <sz val="10"/>
      <name val="Arial"/>
    </font>
    <font>
      <b/>
      <sz val="11"/>
      <name val="Arial"/>
    </font>
    <font>
      <b/>
      <color rgb="FF9C0006"/>
      <name val="Arial"/>
    </font>
    <font>
      <b/>
      <color rgb="FF9C5700"/>
      <name val="Arial"/>
    </font>
    <font>
      <b/>
      <color rgb="FF0061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5" fillId="0" borderId="0" xfId="0" applyFont="1"/>
    <xf numFmtId="0" fontId="8" fillId="0" borderId="0" xfId="0" applyFont="1"/>
    <xf numFmtId="0" fontId="5" fillId="3" borderId="0" xfId="0" applyFont="1" applyFill="1"/>
    <xf numFmtId="9" fontId="5" fillId="0" borderId="0" xfId="0" applyNumberFormat="1" applyFont="1"/>
    <xf numFmtId="2" fontId="5" fillId="0" borderId="0" xfId="0" applyNumberFormat="1" applyFont="1"/>
    <xf numFmtId="0" fontId="9" fillId="4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12"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ycombinator.com/item?id=46238354" TargetMode="External"/><Relationship Id="rId2" Type="http://schemas.openxmlformats.org/officeDocument/2006/relationships/hyperlink" Target="https://news.ycombinator.com/item?id=46706001" TargetMode="External"/><Relationship Id="rId3" Type="http://schemas.openxmlformats.org/officeDocument/2006/relationships/hyperlink" Target="https://news.ycombinator.com/item?id=45823234" TargetMode="External"/><Relationship Id="rId4" Type="http://schemas.openxmlformats.org/officeDocument/2006/relationships/hyperlink" Target="https://news.ycombinator.com/item?id=47368874" TargetMode="External"/><Relationship Id="rId5" Type="http://schemas.openxmlformats.org/officeDocument/2006/relationships/hyperlink" Target="https://news.ycombinator.com/item?id=49078318" TargetMode="External"/><Relationship Id="rId6" Type="http://schemas.openxmlformats.org/officeDocument/2006/relationships/hyperlink" Target="https://news.ycombinator.com/item?id=46508942" TargetMode="External"/><Relationship Id="rId7" Type="http://schemas.openxmlformats.org/officeDocument/2006/relationships/hyperlink" Target="https://news.ycombinator.com/item?id=49438590" TargetMode="External"/><Relationship Id="rId8" Type="http://schemas.openxmlformats.org/officeDocument/2006/relationships/hyperlink" Target="https://news.ycombinator.com/item?id=47139307" TargetMode="External"/><Relationship Id="rId9" Type="http://schemas.openxmlformats.org/officeDocument/2006/relationships/hyperlink" Target="https://news.ycombinator.com/item?id=46197005" TargetMode="External"/><Relationship Id="rId10" Type="http://schemas.openxmlformats.org/officeDocument/2006/relationships/hyperlink" Target="https://news.ycombinator.com/item?id=46333430" TargetMode="External"/><Relationship Id="rId11" Type="http://schemas.openxmlformats.org/officeDocument/2006/relationships/hyperlink" Target="https://news.ycombinator.com/item?id=46037226" TargetMode="External"/><Relationship Id="rId12" Type="http://schemas.openxmlformats.org/officeDocument/2006/relationships/hyperlink" Target="https://news.ycombinator.com/item?id=47092547" TargetMode="External"/><Relationship Id="rId13" Type="http://schemas.openxmlformats.org/officeDocument/2006/relationships/hyperlink" Target="https://www.usaspending.gov/award/CONT_AWD_15A00024FAQ000034_1560_15A00023DAQA00029_1560" TargetMode="External"/><Relationship Id="rId14" Type="http://schemas.openxmlformats.org/officeDocument/2006/relationships/hyperlink" Target="https://www.usaspending.gov/award/CONT_AWD_DELM0000421_8900_-NONE-_-NONE-" TargetMode="External"/><Relationship Id="rId15" Type="http://schemas.openxmlformats.org/officeDocument/2006/relationships/hyperlink" Target="https://www.usaspending.gov/award/CONT_AWD_70SBUR24F00000192_7003_70RTAC23A00000001_7001" TargetMode="External"/><Relationship Id="rId16" Type="http://schemas.openxmlformats.org/officeDocument/2006/relationships/hyperlink" Target="https://www.usaspending.gov/award/CONT_AWD_75FCMC22F0005_7530_47QTCA19D00AJ_4732" TargetMode="External"/><Relationship Id="rId17" Type="http://schemas.openxmlformats.org/officeDocument/2006/relationships/hyperlink" Target="https://www.usaspending.gov/award/CONT_AWD_70CTD026FC0000012_7012_70RTAC26A00000001_7001" TargetMode="External"/><Relationship Id="rId18" Type="http://schemas.openxmlformats.org/officeDocument/2006/relationships/hyperlink" Target="https://www.usaspending.gov/award/CONT_AWD_75N94024F00001_7529_HHSN316201200044W_7529" TargetMode="External"/><Relationship Id="rId19" Type="http://schemas.openxmlformats.org/officeDocument/2006/relationships/hyperlink" Target="https://www.usaspending.gov/award/CONT_AWD_50310221F0183_5000_SECHQ117A0007_5000" TargetMode="External"/><Relationship Id="rId20" Type="http://schemas.openxmlformats.org/officeDocument/2006/relationships/hyperlink" Target="https://www.usaspending.gov/award/CONT_AWD_2031ZB25F00031_2041_47QTCB21D0306_47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60" customWidth="1"/>
    <col min="4" max="6" width="7" customWidth="1"/>
    <col min="7" max="7" width="8" customWidth="1"/>
    <col min="9" max="9" width="8" customWidth="1"/>
    <col min="11" max="11" width="8" customWidth="1"/>
    <col min="12" max="12" width="11" customWidth="1"/>
    <col min="14" max="14" width="30" customWidth="1"/>
    <col min="15" max="15" width="10" customWidth="1"/>
    <col min="17" max="18" width="10" customWidth="1"/>
    <col min="19" max="19" width="45" customWidth="1"/>
  </cols>
  <sheetData>
    <row r="1" spans="1:1" x14ac:dyDescent="0.25">
      <c r="A1" s="1" t="s">
        <v>0</v>
      </c>
    </row>
    <row r="2" ht="30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30" customHeight="1" spans="1:19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</row>
    <row r="5" spans="1:19" x14ac:dyDescent="0.25">
      <c r="A5" s="5">
        <v>1</v>
      </c>
      <c r="B5" s="5" t="s">
        <v>22</v>
      </c>
      <c r="C5" s="6" t="s">
        <v>23</v>
      </c>
      <c r="D5" s="7" t="s">
        <v>24</v>
      </c>
      <c r="E5" s="5">
        <v>3</v>
      </c>
      <c r="F5" s="5">
        <v>3</v>
      </c>
      <c r="G5" s="5">
        <v>2</v>
      </c>
      <c r="H5" s="5">
        <v>3</v>
      </c>
      <c r="I5" s="5">
        <v>3</v>
      </c>
      <c r="J5" s="5">
        <v>2</v>
      </c>
      <c r="K5" s="8">
        <f>SUM(E5:J5)</f>
      </c>
      <c r="L5" s="5">
        <f>IF(K5&gt;=15,"Shortlist",IF(K5&lt;10,"Drop","Middle"))</f>
      </c>
      <c r="M5" s="9"/>
      <c r="N5" s="10"/>
      <c r="O5" s="5">
        <f>(E5&lt;&gt;'Score reasons'!C2)+(F5&lt;&gt;'Score reasons'!F2)+(G5&lt;&gt;'Score reasons'!I2)+(H5&lt;&gt;'Score reasons'!L2)+(I5&lt;&gt;'Score reasons'!O2)+(J5&lt;&gt;'Score reasons'!R2)</f>
      </c>
      <c r="P5" s="11">
        <v>16</v>
      </c>
      <c r="Q5" s="11">
        <v>15</v>
      </c>
      <c r="R5" s="11">
        <v>1</v>
      </c>
      <c r="S5" s="12" t="s">
        <v>25</v>
      </c>
    </row>
    <row r="6" spans="1:19" x14ac:dyDescent="0.25">
      <c r="A6" s="5">
        <v>2</v>
      </c>
      <c r="B6" s="5" t="s">
        <v>22</v>
      </c>
      <c r="C6" s="6" t="s">
        <v>26</v>
      </c>
      <c r="D6" s="7" t="s">
        <v>24</v>
      </c>
      <c r="E6" s="5">
        <v>2</v>
      </c>
      <c r="F6" s="5">
        <v>3</v>
      </c>
      <c r="G6" s="5">
        <v>3</v>
      </c>
      <c r="H6" s="5">
        <v>3</v>
      </c>
      <c r="I6" s="5">
        <v>3</v>
      </c>
      <c r="J6" s="5">
        <v>2</v>
      </c>
      <c r="K6" s="8">
        <f>SUM(E6:J6)</f>
      </c>
      <c r="L6" s="5">
        <f>IF(K6&gt;=15,"Shortlist",IF(K6&lt;10,"Drop","Middle"))</f>
      </c>
      <c r="M6" s="9"/>
      <c r="N6" s="10"/>
      <c r="O6" s="5">
        <f>(E6&lt;&gt;'Score reasons'!C3)+(F6&lt;&gt;'Score reasons'!F3)+(G6&lt;&gt;'Score reasons'!I3)+(H6&lt;&gt;'Score reasons'!L3)+(I6&lt;&gt;'Score reasons'!O3)+(J6&lt;&gt;'Score reasons'!R3)</f>
      </c>
      <c r="P6" s="11">
        <v>16</v>
      </c>
      <c r="Q6" s="11">
        <v>13</v>
      </c>
      <c r="R6" s="11">
        <v>8</v>
      </c>
      <c r="S6" s="12" t="s">
        <v>27</v>
      </c>
    </row>
    <row r="7" spans="1:19" x14ac:dyDescent="0.25">
      <c r="A7" s="5">
        <v>3</v>
      </c>
      <c r="B7" s="5" t="s">
        <v>22</v>
      </c>
      <c r="C7" s="6" t="s">
        <v>28</v>
      </c>
      <c r="D7" s="7" t="s">
        <v>24</v>
      </c>
      <c r="E7" s="5">
        <v>3</v>
      </c>
      <c r="F7" s="5">
        <v>3</v>
      </c>
      <c r="G7" s="5">
        <v>3</v>
      </c>
      <c r="H7" s="5">
        <v>2</v>
      </c>
      <c r="I7" s="5">
        <v>3</v>
      </c>
      <c r="J7" s="5">
        <v>2</v>
      </c>
      <c r="K7" s="8">
        <f>SUM(E7:J7)</f>
      </c>
      <c r="L7" s="5">
        <f>IF(K7&gt;=15,"Shortlist",IF(K7&lt;10,"Drop","Middle"))</f>
      </c>
      <c r="M7" s="9"/>
      <c r="N7" s="10"/>
      <c r="O7" s="5">
        <f>(E7&lt;&gt;'Score reasons'!C4)+(F7&lt;&gt;'Score reasons'!F4)+(G7&lt;&gt;'Score reasons'!I4)+(H7&lt;&gt;'Score reasons'!L4)+(I7&lt;&gt;'Score reasons'!O4)+(J7&lt;&gt;'Score reasons'!R4)</f>
      </c>
      <c r="P7" s="11">
        <v>16</v>
      </c>
      <c r="Q7" s="11">
        <v>12</v>
      </c>
      <c r="R7" s="11">
        <v>9</v>
      </c>
      <c r="S7" s="12" t="s">
        <v>29</v>
      </c>
    </row>
    <row r="8" spans="1:19" x14ac:dyDescent="0.25">
      <c r="A8" s="5">
        <v>4</v>
      </c>
      <c r="B8" s="5" t="s">
        <v>22</v>
      </c>
      <c r="C8" s="6" t="s">
        <v>30</v>
      </c>
      <c r="D8" s="7" t="s">
        <v>24</v>
      </c>
      <c r="E8" s="5">
        <v>3</v>
      </c>
      <c r="F8" s="5">
        <v>3</v>
      </c>
      <c r="G8" s="5">
        <v>3</v>
      </c>
      <c r="H8" s="5">
        <v>3</v>
      </c>
      <c r="I8" s="5">
        <v>2</v>
      </c>
      <c r="J8" s="5">
        <v>2</v>
      </c>
      <c r="K8" s="8">
        <f>SUM(E8:J8)</f>
      </c>
      <c r="L8" s="5">
        <f>IF(K8&gt;=15,"Shortlist",IF(K8&lt;10,"Drop","Middle"))</f>
      </c>
      <c r="M8" s="9"/>
      <c r="N8" s="10"/>
      <c r="O8" s="5">
        <f>(E8&lt;&gt;'Score reasons'!C5)+(F8&lt;&gt;'Score reasons'!F5)+(G8&lt;&gt;'Score reasons'!I5)+(H8&lt;&gt;'Score reasons'!L5)+(I8&lt;&gt;'Score reasons'!O5)+(J8&lt;&gt;'Score reasons'!R5)</f>
      </c>
      <c r="P8" s="11">
        <v>16</v>
      </c>
      <c r="Q8" s="11">
        <v>11</v>
      </c>
      <c r="R8" s="11">
        <v>11</v>
      </c>
      <c r="S8" s="12" t="s">
        <v>31</v>
      </c>
    </row>
    <row r="9" spans="1:19" x14ac:dyDescent="0.25">
      <c r="A9" s="5">
        <v>5</v>
      </c>
      <c r="B9" s="5" t="s">
        <v>22</v>
      </c>
      <c r="C9" s="6" t="s">
        <v>32</v>
      </c>
      <c r="D9" s="7" t="s">
        <v>24</v>
      </c>
      <c r="E9" s="5">
        <v>2</v>
      </c>
      <c r="F9" s="5">
        <v>3</v>
      </c>
      <c r="G9" s="5">
        <v>3</v>
      </c>
      <c r="H9" s="5">
        <v>3</v>
      </c>
      <c r="I9" s="5">
        <v>3</v>
      </c>
      <c r="J9" s="5">
        <v>2</v>
      </c>
      <c r="K9" s="8">
        <f>SUM(E9:J9)</f>
      </c>
      <c r="L9" s="5">
        <f>IF(K9&gt;=15,"Shortlist",IF(K9&lt;10,"Drop","Middle"))</f>
      </c>
      <c r="M9" s="9"/>
      <c r="N9" s="10"/>
      <c r="O9" s="5">
        <f>(E9&lt;&gt;'Score reasons'!C6)+(F9&lt;&gt;'Score reasons'!F6)+(G9&lt;&gt;'Score reasons'!I6)+(H9&lt;&gt;'Score reasons'!L6)+(I9&lt;&gt;'Score reasons'!O6)+(J9&lt;&gt;'Score reasons'!R6)</f>
      </c>
      <c r="P9" s="11">
        <v>16</v>
      </c>
      <c r="Q9" s="11">
        <v>10</v>
      </c>
      <c r="R9" s="11">
        <v>15</v>
      </c>
      <c r="S9" s="12" t="s">
        <v>33</v>
      </c>
    </row>
    <row r="10" spans="1:19" x14ac:dyDescent="0.25">
      <c r="A10" s="5">
        <v>6</v>
      </c>
      <c r="B10" s="5" t="s">
        <v>22</v>
      </c>
      <c r="C10" s="6" t="s">
        <v>34</v>
      </c>
      <c r="D10" s="7" t="s">
        <v>24</v>
      </c>
      <c r="E10" s="5">
        <v>1</v>
      </c>
      <c r="F10" s="5">
        <v>3</v>
      </c>
      <c r="G10" s="5">
        <v>3</v>
      </c>
      <c r="H10" s="5">
        <v>3</v>
      </c>
      <c r="I10" s="5">
        <v>3</v>
      </c>
      <c r="J10" s="5">
        <v>2</v>
      </c>
      <c r="K10" s="8">
        <f>SUM(E10:J10)</f>
      </c>
      <c r="L10" s="5">
        <f>IF(K10&gt;=15,"Shortlist",IF(K10&lt;10,"Drop","Middle"))</f>
      </c>
      <c r="M10" s="9"/>
      <c r="N10" s="10"/>
      <c r="O10" s="5">
        <f>(E10&lt;&gt;'Score reasons'!C7)+(F10&lt;&gt;'Score reasons'!F7)+(G10&lt;&gt;'Score reasons'!I7)+(H10&lt;&gt;'Score reasons'!L7)+(I10&lt;&gt;'Score reasons'!O7)+(J10&lt;&gt;'Score reasons'!R7)</f>
      </c>
      <c r="P10" s="11">
        <v>15</v>
      </c>
      <c r="Q10" s="11">
        <v>12</v>
      </c>
      <c r="R10" s="11">
        <v>10</v>
      </c>
      <c r="S10" s="12" t="s">
        <v>35</v>
      </c>
    </row>
    <row r="11" spans="1:19" x14ac:dyDescent="0.25">
      <c r="A11" s="5">
        <v>7</v>
      </c>
      <c r="B11" s="5" t="s">
        <v>22</v>
      </c>
      <c r="C11" s="6" t="s">
        <v>36</v>
      </c>
      <c r="D11" s="7" t="s">
        <v>24</v>
      </c>
      <c r="E11" s="5">
        <v>2</v>
      </c>
      <c r="F11" s="5">
        <v>3</v>
      </c>
      <c r="G11" s="5">
        <v>2</v>
      </c>
      <c r="H11" s="5">
        <v>3</v>
      </c>
      <c r="I11" s="5">
        <v>3</v>
      </c>
      <c r="J11" s="5">
        <v>2</v>
      </c>
      <c r="K11" s="8">
        <f>SUM(E11:J11)</f>
      </c>
      <c r="L11" s="5">
        <f>IF(K11&gt;=15,"Shortlist",IF(K11&lt;10,"Drop","Middle"))</f>
      </c>
      <c r="M11" s="9"/>
      <c r="N11" s="10"/>
      <c r="O11" s="5">
        <f>(E11&lt;&gt;'Score reasons'!C8)+(F11&lt;&gt;'Score reasons'!F8)+(G11&lt;&gt;'Score reasons'!I8)+(H11&lt;&gt;'Score reasons'!L8)+(I11&lt;&gt;'Score reasons'!O8)+(J11&lt;&gt;'Score reasons'!R8)</f>
      </c>
      <c r="P11" s="11">
        <v>15</v>
      </c>
      <c r="Q11" s="11">
        <v>11</v>
      </c>
      <c r="R11" s="11">
        <v>12</v>
      </c>
      <c r="S11" s="12" t="s">
        <v>37</v>
      </c>
    </row>
    <row r="12" spans="1:19" x14ac:dyDescent="0.25">
      <c r="A12" s="5">
        <v>8</v>
      </c>
      <c r="B12" s="5" t="s">
        <v>22</v>
      </c>
      <c r="C12" s="6" t="s">
        <v>38</v>
      </c>
      <c r="D12" s="7" t="s">
        <v>24</v>
      </c>
      <c r="E12" s="5">
        <v>1</v>
      </c>
      <c r="F12" s="5">
        <v>3</v>
      </c>
      <c r="G12" s="5">
        <v>3</v>
      </c>
      <c r="H12" s="5">
        <v>3</v>
      </c>
      <c r="I12" s="5">
        <v>3</v>
      </c>
      <c r="J12" s="5">
        <v>2</v>
      </c>
      <c r="K12" s="8">
        <f>SUM(E12:J12)</f>
      </c>
      <c r="L12" s="5">
        <f>IF(K12&gt;=15,"Shortlist",IF(K12&lt;10,"Drop","Middle"))</f>
      </c>
      <c r="M12" s="9"/>
      <c r="N12" s="10"/>
      <c r="O12" s="5">
        <f>(E12&lt;&gt;'Score reasons'!C9)+(F12&lt;&gt;'Score reasons'!F9)+(G12&lt;&gt;'Score reasons'!I9)+(H12&lt;&gt;'Score reasons'!L9)+(I12&lt;&gt;'Score reasons'!O9)+(J12&lt;&gt;'Score reasons'!R9)</f>
      </c>
      <c r="P12" s="11">
        <v>15</v>
      </c>
      <c r="Q12" s="11">
        <v>10</v>
      </c>
      <c r="R12" s="11">
        <v>16</v>
      </c>
      <c r="S12" s="12" t="s">
        <v>39</v>
      </c>
    </row>
    <row r="13" spans="1:19" x14ac:dyDescent="0.25">
      <c r="A13" s="5">
        <v>9</v>
      </c>
      <c r="B13" s="5" t="s">
        <v>22</v>
      </c>
      <c r="C13" s="6" t="s">
        <v>40</v>
      </c>
      <c r="D13" s="7" t="s">
        <v>24</v>
      </c>
      <c r="E13" s="5">
        <v>1</v>
      </c>
      <c r="F13" s="5">
        <v>3</v>
      </c>
      <c r="G13" s="5">
        <v>3</v>
      </c>
      <c r="H13" s="5">
        <v>3</v>
      </c>
      <c r="I13" s="5">
        <v>3</v>
      </c>
      <c r="J13" s="5">
        <v>2</v>
      </c>
      <c r="K13" s="8">
        <f>SUM(E13:J13)</f>
      </c>
      <c r="L13" s="5">
        <f>IF(K13&gt;=15,"Shortlist",IF(K13&lt;10,"Drop","Middle"))</f>
      </c>
      <c r="M13" s="9"/>
      <c r="N13" s="10"/>
      <c r="O13" s="5">
        <f>(E13&lt;&gt;'Score reasons'!C10)+(F13&lt;&gt;'Score reasons'!F10)+(G13&lt;&gt;'Score reasons'!I10)+(H13&lt;&gt;'Score reasons'!L10)+(I13&lt;&gt;'Score reasons'!O10)+(J13&lt;&gt;'Score reasons'!R10)</f>
      </c>
      <c r="P13" s="11">
        <v>15</v>
      </c>
      <c r="Q13" s="11">
        <v>10</v>
      </c>
      <c r="R13" s="11">
        <v>17</v>
      </c>
      <c r="S13" s="12" t="s">
        <v>41</v>
      </c>
    </row>
    <row r="14" spans="1:19" x14ac:dyDescent="0.25">
      <c r="A14" s="5">
        <v>10</v>
      </c>
      <c r="B14" s="5" t="s">
        <v>22</v>
      </c>
      <c r="C14" s="6" t="s">
        <v>42</v>
      </c>
      <c r="D14" s="7" t="s">
        <v>24</v>
      </c>
      <c r="E14" s="5">
        <v>1</v>
      </c>
      <c r="F14" s="5">
        <v>3</v>
      </c>
      <c r="G14" s="5">
        <v>3</v>
      </c>
      <c r="H14" s="5">
        <v>3</v>
      </c>
      <c r="I14" s="5">
        <v>3</v>
      </c>
      <c r="J14" s="5">
        <v>2</v>
      </c>
      <c r="K14" s="8">
        <f>SUM(E14:J14)</f>
      </c>
      <c r="L14" s="5">
        <f>IF(K14&gt;=15,"Shortlist",IF(K14&lt;10,"Drop","Middle"))</f>
      </c>
      <c r="M14" s="9"/>
      <c r="N14" s="10"/>
      <c r="O14" s="5">
        <f>(E14&lt;&gt;'Score reasons'!C11)+(F14&lt;&gt;'Score reasons'!F11)+(G14&lt;&gt;'Score reasons'!I11)+(H14&lt;&gt;'Score reasons'!L11)+(I14&lt;&gt;'Score reasons'!O11)+(J14&lt;&gt;'Score reasons'!R11)</f>
      </c>
      <c r="P14" s="11">
        <v>15</v>
      </c>
      <c r="Q14" s="11">
        <v>9</v>
      </c>
      <c r="R14" s="11">
        <v>18</v>
      </c>
      <c r="S14" s="12" t="s">
        <v>43</v>
      </c>
    </row>
    <row r="15" spans="1:19" x14ac:dyDescent="0.25">
      <c r="A15" s="5">
        <v>11</v>
      </c>
      <c r="B15" s="5" t="s">
        <v>22</v>
      </c>
      <c r="C15" s="6" t="s">
        <v>44</v>
      </c>
      <c r="D15" s="7" t="s">
        <v>24</v>
      </c>
      <c r="E15" s="5">
        <v>1</v>
      </c>
      <c r="F15" s="5">
        <v>3</v>
      </c>
      <c r="G15" s="5">
        <v>3</v>
      </c>
      <c r="H15" s="5">
        <v>3</v>
      </c>
      <c r="I15" s="5">
        <v>3</v>
      </c>
      <c r="J15" s="5">
        <v>2</v>
      </c>
      <c r="K15" s="8">
        <f>SUM(E15:J15)</f>
      </c>
      <c r="L15" s="5">
        <f>IF(K15&gt;=15,"Shortlist",IF(K15&lt;10,"Drop","Middle"))</f>
      </c>
      <c r="M15" s="9"/>
      <c r="N15" s="10"/>
      <c r="O15" s="5">
        <f>(E15&lt;&gt;'Score reasons'!C12)+(F15&lt;&gt;'Score reasons'!F12)+(G15&lt;&gt;'Score reasons'!I12)+(H15&lt;&gt;'Score reasons'!L12)+(I15&lt;&gt;'Score reasons'!O12)+(J15&lt;&gt;'Score reasons'!R12)</f>
      </c>
      <c r="P15" s="11">
        <v>15</v>
      </c>
      <c r="Q15" s="11">
        <v>9</v>
      </c>
      <c r="R15" s="11">
        <v>19</v>
      </c>
      <c r="S15" s="12" t="s">
        <v>45</v>
      </c>
    </row>
    <row r="16" spans="1:19" x14ac:dyDescent="0.25">
      <c r="A16" s="5">
        <v>12</v>
      </c>
      <c r="B16" s="5" t="s">
        <v>22</v>
      </c>
      <c r="C16" s="6" t="s">
        <v>46</v>
      </c>
      <c r="D16" s="7" t="s">
        <v>24</v>
      </c>
      <c r="E16" s="5">
        <v>1</v>
      </c>
      <c r="F16" s="5">
        <v>3</v>
      </c>
      <c r="G16" s="5">
        <v>3</v>
      </c>
      <c r="H16" s="5">
        <v>3</v>
      </c>
      <c r="I16" s="5">
        <v>3</v>
      </c>
      <c r="J16" s="5">
        <v>2</v>
      </c>
      <c r="K16" s="8">
        <f>SUM(E16:J16)</f>
      </c>
      <c r="L16" s="5">
        <f>IF(K16&gt;=15,"Shortlist",IF(K16&lt;10,"Drop","Middle"))</f>
      </c>
      <c r="M16" s="9"/>
      <c r="N16" s="10"/>
      <c r="O16" s="5">
        <f>(E16&lt;&gt;'Score reasons'!C13)+(F16&lt;&gt;'Score reasons'!F13)+(G16&lt;&gt;'Score reasons'!I13)+(H16&lt;&gt;'Score reasons'!L13)+(I16&lt;&gt;'Score reasons'!O13)+(J16&lt;&gt;'Score reasons'!R13)</f>
      </c>
      <c r="P16" s="11">
        <v>15</v>
      </c>
      <c r="Q16" s="11">
        <v>9</v>
      </c>
      <c r="R16" s="11">
        <v>20</v>
      </c>
      <c r="S16" s="12" t="s">
        <v>47</v>
      </c>
    </row>
    <row r="17" spans="1:19" x14ac:dyDescent="0.25">
      <c r="A17" s="5">
        <v>13</v>
      </c>
      <c r="B17" s="5" t="s">
        <v>48</v>
      </c>
      <c r="C17" s="6" t="s">
        <v>49</v>
      </c>
      <c r="D17" s="7" t="s">
        <v>24</v>
      </c>
      <c r="E17" s="5">
        <v>3</v>
      </c>
      <c r="F17" s="5">
        <v>3</v>
      </c>
      <c r="G17" s="5">
        <v>1</v>
      </c>
      <c r="H17" s="5">
        <v>3</v>
      </c>
      <c r="I17" s="5">
        <v>1</v>
      </c>
      <c r="J17" s="5">
        <v>3</v>
      </c>
      <c r="K17" s="8">
        <f>SUM(E17:J17)</f>
      </c>
      <c r="L17" s="5">
        <f>IF(K17&gt;=15,"Shortlist",IF(K17&lt;10,"Drop","Middle"))</f>
      </c>
      <c r="M17" s="9"/>
      <c r="N17" s="10"/>
      <c r="O17" s="5">
        <f>(E17&lt;&gt;'Score reasons'!C14)+(F17&lt;&gt;'Score reasons'!F14)+(G17&lt;&gt;'Score reasons'!I14)+(H17&lt;&gt;'Score reasons'!L14)+(I17&lt;&gt;'Score reasons'!O14)+(J17&lt;&gt;'Score reasons'!R14)</f>
      </c>
      <c r="P17" s="11">
        <v>14</v>
      </c>
      <c r="Q17" s="11">
        <v>14</v>
      </c>
      <c r="R17" s="11">
        <v>2</v>
      </c>
      <c r="S17" s="12" t="s">
        <v>49</v>
      </c>
    </row>
    <row r="18" spans="1:19" x14ac:dyDescent="0.25">
      <c r="A18" s="5">
        <v>14</v>
      </c>
      <c r="B18" s="5" t="s">
        <v>48</v>
      </c>
      <c r="C18" s="6" t="s">
        <v>50</v>
      </c>
      <c r="D18" s="7" t="s">
        <v>24</v>
      </c>
      <c r="E18" s="5">
        <v>3</v>
      </c>
      <c r="F18" s="5">
        <v>3</v>
      </c>
      <c r="G18" s="5">
        <v>1</v>
      </c>
      <c r="H18" s="5">
        <v>3</v>
      </c>
      <c r="I18" s="5">
        <v>1</v>
      </c>
      <c r="J18" s="5">
        <v>3</v>
      </c>
      <c r="K18" s="8">
        <f>SUM(E18:J18)</f>
      </c>
      <c r="L18" s="5">
        <f>IF(K18&gt;=15,"Shortlist",IF(K18&lt;10,"Drop","Middle"))</f>
      </c>
      <c r="M18" s="9"/>
      <c r="N18" s="10"/>
      <c r="O18" s="5">
        <f>(E18&lt;&gt;'Score reasons'!C15)+(F18&lt;&gt;'Score reasons'!F15)+(G18&lt;&gt;'Score reasons'!I15)+(H18&lt;&gt;'Score reasons'!L15)+(I18&lt;&gt;'Score reasons'!O15)+(J18&lt;&gt;'Score reasons'!R15)</f>
      </c>
      <c r="P18" s="11">
        <v>14</v>
      </c>
      <c r="Q18" s="11">
        <v>14</v>
      </c>
      <c r="R18" s="11">
        <v>3</v>
      </c>
      <c r="S18" s="12" t="s">
        <v>50</v>
      </c>
    </row>
    <row r="19" spans="1:19" x14ac:dyDescent="0.25">
      <c r="A19" s="5">
        <v>15</v>
      </c>
      <c r="B19" s="5" t="s">
        <v>48</v>
      </c>
      <c r="C19" s="6" t="s">
        <v>51</v>
      </c>
      <c r="D19" s="7" t="s">
        <v>24</v>
      </c>
      <c r="E19" s="5">
        <v>3</v>
      </c>
      <c r="F19" s="5">
        <v>3</v>
      </c>
      <c r="G19" s="5">
        <v>1</v>
      </c>
      <c r="H19" s="5">
        <v>3</v>
      </c>
      <c r="I19" s="5">
        <v>1</v>
      </c>
      <c r="J19" s="5">
        <v>3</v>
      </c>
      <c r="K19" s="8">
        <f>SUM(E19:J19)</f>
      </c>
      <c r="L19" s="5">
        <f>IF(K19&gt;=15,"Shortlist",IF(K19&lt;10,"Drop","Middle"))</f>
      </c>
      <c r="M19" s="9"/>
      <c r="N19" s="10"/>
      <c r="O19" s="5">
        <f>(E19&lt;&gt;'Score reasons'!C16)+(F19&lt;&gt;'Score reasons'!F16)+(G19&lt;&gt;'Score reasons'!I16)+(H19&lt;&gt;'Score reasons'!L16)+(I19&lt;&gt;'Score reasons'!O16)+(J19&lt;&gt;'Score reasons'!R16)</f>
      </c>
      <c r="P19" s="11">
        <v>14</v>
      </c>
      <c r="Q19" s="11">
        <v>14</v>
      </c>
      <c r="R19" s="11">
        <v>4</v>
      </c>
      <c r="S19" s="12" t="s">
        <v>51</v>
      </c>
    </row>
    <row r="20" spans="1:19" x14ac:dyDescent="0.25">
      <c r="A20" s="5">
        <v>16</v>
      </c>
      <c r="B20" s="5" t="s">
        <v>48</v>
      </c>
      <c r="C20" s="6" t="s">
        <v>52</v>
      </c>
      <c r="D20" s="7" t="s">
        <v>24</v>
      </c>
      <c r="E20" s="5">
        <v>3</v>
      </c>
      <c r="F20" s="5">
        <v>3</v>
      </c>
      <c r="G20" s="5">
        <v>1</v>
      </c>
      <c r="H20" s="5">
        <v>3</v>
      </c>
      <c r="I20" s="5">
        <v>1</v>
      </c>
      <c r="J20" s="5">
        <v>3</v>
      </c>
      <c r="K20" s="8">
        <f>SUM(E20:J20)</f>
      </c>
      <c r="L20" s="5">
        <f>IF(K20&gt;=15,"Shortlist",IF(K20&lt;10,"Drop","Middle"))</f>
      </c>
      <c r="M20" s="9"/>
      <c r="N20" s="10"/>
      <c r="O20" s="5">
        <f>(E20&lt;&gt;'Score reasons'!C17)+(F20&lt;&gt;'Score reasons'!F17)+(G20&lt;&gt;'Score reasons'!I17)+(H20&lt;&gt;'Score reasons'!L17)+(I20&lt;&gt;'Score reasons'!O17)+(J20&lt;&gt;'Score reasons'!R17)</f>
      </c>
      <c r="P20" s="11">
        <v>14</v>
      </c>
      <c r="Q20" s="11">
        <v>14</v>
      </c>
      <c r="R20" s="11">
        <v>5</v>
      </c>
      <c r="S20" s="12" t="s">
        <v>52</v>
      </c>
    </row>
    <row r="21" spans="1:19" x14ac:dyDescent="0.25">
      <c r="A21" s="5">
        <v>17</v>
      </c>
      <c r="B21" s="5" t="s">
        <v>48</v>
      </c>
      <c r="C21" s="6" t="s">
        <v>53</v>
      </c>
      <c r="D21" s="7" t="s">
        <v>24</v>
      </c>
      <c r="E21" s="5">
        <v>3</v>
      </c>
      <c r="F21" s="5">
        <v>3</v>
      </c>
      <c r="G21" s="5">
        <v>1</v>
      </c>
      <c r="H21" s="5">
        <v>3</v>
      </c>
      <c r="I21" s="5">
        <v>1</v>
      </c>
      <c r="J21" s="5">
        <v>3</v>
      </c>
      <c r="K21" s="8">
        <f>SUM(E21:J21)</f>
      </c>
      <c r="L21" s="5">
        <f>IF(K21&gt;=15,"Shortlist",IF(K21&lt;10,"Drop","Middle"))</f>
      </c>
      <c r="M21" s="9"/>
      <c r="N21" s="10"/>
      <c r="O21" s="5">
        <f>(E21&lt;&gt;'Score reasons'!C18)+(F21&lt;&gt;'Score reasons'!F18)+(G21&lt;&gt;'Score reasons'!I18)+(H21&lt;&gt;'Score reasons'!L18)+(I21&lt;&gt;'Score reasons'!O18)+(J21&lt;&gt;'Score reasons'!R18)</f>
      </c>
      <c r="P21" s="11">
        <v>14</v>
      </c>
      <c r="Q21" s="11">
        <v>14</v>
      </c>
      <c r="R21" s="11">
        <v>6</v>
      </c>
      <c r="S21" s="12" t="s">
        <v>53</v>
      </c>
    </row>
    <row r="22" spans="1:19" x14ac:dyDescent="0.25">
      <c r="A22" s="5">
        <v>18</v>
      </c>
      <c r="B22" s="5" t="s">
        <v>48</v>
      </c>
      <c r="C22" s="6" t="s">
        <v>54</v>
      </c>
      <c r="D22" s="7" t="s">
        <v>24</v>
      </c>
      <c r="E22" s="5">
        <v>3</v>
      </c>
      <c r="F22" s="5">
        <v>3</v>
      </c>
      <c r="G22" s="5">
        <v>1</v>
      </c>
      <c r="H22" s="5">
        <v>3</v>
      </c>
      <c r="I22" s="5">
        <v>1</v>
      </c>
      <c r="J22" s="5">
        <v>3</v>
      </c>
      <c r="K22" s="8">
        <f>SUM(E22:J22)</f>
      </c>
      <c r="L22" s="5">
        <f>IF(K22&gt;=15,"Shortlist",IF(K22&lt;10,"Drop","Middle"))</f>
      </c>
      <c r="M22" s="9"/>
      <c r="N22" s="10"/>
      <c r="O22" s="5">
        <f>(E22&lt;&gt;'Score reasons'!C19)+(F22&lt;&gt;'Score reasons'!F19)+(G22&lt;&gt;'Score reasons'!I19)+(H22&lt;&gt;'Score reasons'!L19)+(I22&lt;&gt;'Score reasons'!O19)+(J22&lt;&gt;'Score reasons'!R19)</f>
      </c>
      <c r="P22" s="11">
        <v>14</v>
      </c>
      <c r="Q22" s="11">
        <v>14</v>
      </c>
      <c r="R22" s="11">
        <v>7</v>
      </c>
      <c r="S22" s="12" t="s">
        <v>54</v>
      </c>
    </row>
    <row r="23" spans="1:19" x14ac:dyDescent="0.25">
      <c r="A23" s="5">
        <v>19</v>
      </c>
      <c r="B23" s="5" t="s">
        <v>48</v>
      </c>
      <c r="C23" s="6" t="s">
        <v>55</v>
      </c>
      <c r="D23" s="7" t="s">
        <v>24</v>
      </c>
      <c r="E23" s="5">
        <v>1</v>
      </c>
      <c r="F23" s="5">
        <v>2</v>
      </c>
      <c r="G23" s="5">
        <v>1</v>
      </c>
      <c r="H23" s="5">
        <v>3</v>
      </c>
      <c r="I23" s="5">
        <v>1</v>
      </c>
      <c r="J23" s="5">
        <v>3</v>
      </c>
      <c r="K23" s="8">
        <f>SUM(E23:J23)</f>
      </c>
      <c r="L23" s="5">
        <f>IF(K23&gt;=15,"Shortlist",IF(K23&lt;10,"Drop","Middle"))</f>
      </c>
      <c r="M23" s="9"/>
      <c r="N23" s="10"/>
      <c r="O23" s="5">
        <f>(E23&lt;&gt;'Score reasons'!C20)+(F23&lt;&gt;'Score reasons'!F20)+(G23&lt;&gt;'Score reasons'!I20)+(H23&lt;&gt;'Score reasons'!L20)+(I23&lt;&gt;'Score reasons'!O20)+(J23&lt;&gt;'Score reasons'!R20)</f>
      </c>
      <c r="P23" s="11">
        <v>11</v>
      </c>
      <c r="Q23" s="11">
        <v>11</v>
      </c>
      <c r="R23" s="11">
        <v>13</v>
      </c>
      <c r="S23" s="12" t="s">
        <v>55</v>
      </c>
    </row>
    <row r="24" spans="1:19" x14ac:dyDescent="0.25">
      <c r="A24" s="5">
        <v>20</v>
      </c>
      <c r="B24" s="5" t="s">
        <v>48</v>
      </c>
      <c r="C24" s="6" t="s">
        <v>56</v>
      </c>
      <c r="D24" s="7" t="s">
        <v>24</v>
      </c>
      <c r="E24" s="5">
        <v>1</v>
      </c>
      <c r="F24" s="5">
        <v>2</v>
      </c>
      <c r="G24" s="5">
        <v>1</v>
      </c>
      <c r="H24" s="5">
        <v>3</v>
      </c>
      <c r="I24" s="5">
        <v>1</v>
      </c>
      <c r="J24" s="5">
        <v>3</v>
      </c>
      <c r="K24" s="8">
        <f>SUM(E24:J24)</f>
      </c>
      <c r="L24" s="5">
        <f>IF(K24&gt;=15,"Shortlist",IF(K24&lt;10,"Drop","Middle"))</f>
      </c>
      <c r="M24" s="9"/>
      <c r="N24" s="10"/>
      <c r="O24" s="5">
        <f>(E24&lt;&gt;'Score reasons'!C21)+(F24&lt;&gt;'Score reasons'!F21)+(G24&lt;&gt;'Score reasons'!I21)+(H24&lt;&gt;'Score reasons'!L21)+(I24&lt;&gt;'Score reasons'!O21)+(J24&lt;&gt;'Score reasons'!R21)</f>
      </c>
      <c r="P24" s="11">
        <v>11</v>
      </c>
      <c r="Q24" s="11">
        <v>11</v>
      </c>
      <c r="R24" s="11">
        <v>14</v>
      </c>
      <c r="S24" s="12" t="s">
        <v>56</v>
      </c>
    </row>
  </sheetData>
  <autoFilter ref="A4:S24"/>
  <mergeCells count="2">
    <mergeCell ref="A2:S2"/>
    <mergeCell ref="A3:S3"/>
  </mergeCells>
  <conditionalFormatting sqref="E5:J24">
    <cfRule type="cellIs" dxfId="0" priority="1" operator="equal">
      <formula>3</formula>
    </cfRule>
    <cfRule type="cellIs" dxfId="1" priority="2" operator="equal">
      <formula>2</formula>
    </cfRule>
    <cfRule type="cellIs" dxfId="2" priority="3" operator="equal">
      <formula>1</formula>
    </cfRule>
  </conditionalFormatting>
  <conditionalFormatting sqref="K5:K24">
    <cfRule type="cellIs" dxfId="3" priority="4" operator="greaterThan">
      <formula>14</formula>
    </cfRule>
    <cfRule type="cellIs" dxfId="4" priority="5" operator="between">
      <formula>10</formula>
      <formula>14</formula>
    </cfRule>
    <cfRule type="cellIs" dxfId="5" priority="6" operator="lessThan">
      <formula>10</formula>
    </cfRule>
  </conditionalFormatting>
  <conditionalFormatting sqref="L5:L24">
    <cfRule type="expression" dxfId="6" priority="7">
      <formula>$L5="Shortlist"</formula>
    </cfRule>
    <cfRule type="expression" dxfId="7" priority="8">
      <formula>$L5="Middle"</formula>
    </cfRule>
    <cfRule type="expression" dxfId="8" priority="9">
      <formula>$L5="Drop"</formula>
    </cfRule>
  </conditionalFormatting>
  <conditionalFormatting sqref="M5:M24">
    <cfRule type="expression" dxfId="9" priority="10">
      <formula>$M5="yes"</formula>
    </cfRule>
    <cfRule type="expression" dxfId="10" priority="11">
      <formula>$M5="maybe"</formula>
    </cfRule>
    <cfRule type="expression" dxfId="11" priority="12">
      <formula>$M5="no"</formula>
    </cfRule>
  </conditionalFormatting>
  <dataValidations count="4">
    <dataValidation type="whole" showErrorMessage="1" errorTitle="Score" error="Scores are whole numbers from 1 to 3." sqref="E10:J24">
      <formula1>1</formula1>
      <formula2>3</formula2>
    </dataValidation>
    <dataValidation type="whole" showErrorMessage="1" errorTitle="Score" error="Scores are whole numbers from 1 to 3." sqref="E5:J24">
      <formula1>1</formula1>
      <formula2>3</formula2>
    </dataValidation>
    <dataValidation type="list" allowBlank="1" showErrorMessage="1" errorTitle="Pursue?" error="Choose yes, maybe, or no." sqref="M10:M24">
      <formula1>"yes,maybe,no"</formula1>
    </dataValidation>
    <dataValidation type="list" allowBlank="1" showErrorMessage="1" errorTitle="Pursue?" error="Choose yes, maybe, or no." sqref="M5:M24">
      <formula1>"yes,maybe,no"</formula1>
    </dataValidation>
  </dataValidations>
  <hyperlinks>
    <hyperlink ref="D5" r:id="rId1"/>
    <hyperlink ref="D6" r:id="rId2"/>
    <hyperlink ref="D7" r:id="rId3"/>
    <hyperlink ref="D8" r:id="rId4"/>
    <hyperlink ref="D9" r:id="rId5"/>
    <hyperlink ref="D10" r:id="rId6"/>
    <hyperlink ref="D11" r:id="rId7"/>
    <hyperlink ref="D12" r:id="rId8"/>
    <hyperlink ref="D13" r:id="rId9"/>
    <hyperlink ref="D14" r:id="rId10"/>
    <hyperlink ref="D15" r:id="rId11"/>
    <hyperlink ref="D16" r:id="rId12"/>
    <hyperlink ref="D17" r:id="rId13"/>
    <hyperlink ref="D18" r:id="rId14"/>
    <hyperlink ref="D19" r:id="rId15"/>
    <hyperlink ref="D20" r:id="rId16"/>
    <hyperlink ref="D21" r:id="rId17"/>
    <hyperlink ref="D22" r:id="rId18"/>
    <hyperlink ref="D23" r:id="rId19"/>
    <hyperlink ref="D24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5" customWidth="1"/>
    <col min="3" max="3" width="8" customWidth="1"/>
    <col min="4" max="4" width="16" customWidth="1"/>
    <col min="5" max="5" width="40" customWidth="1"/>
    <col min="6" max="6" width="8" customWidth="1"/>
    <col min="7" max="7" width="16" customWidth="1"/>
    <col min="8" max="8" width="40" customWidth="1"/>
    <col min="9" max="9" width="8" customWidth="1"/>
    <col min="10" max="10" width="16" customWidth="1"/>
    <col min="11" max="11" width="40" customWidth="1"/>
    <col min="12" max="12" width="8" customWidth="1"/>
    <col min="13" max="13" width="16" customWidth="1"/>
    <col min="14" max="14" width="40" customWidth="1"/>
    <col min="15" max="15" width="8" customWidth="1"/>
    <col min="16" max="16" width="16" customWidth="1"/>
    <col min="17" max="17" width="40" customWidth="1"/>
    <col min="18" max="18" width="8" customWidth="1"/>
    <col min="19" max="19" width="16" customWidth="1"/>
    <col min="20" max="20" width="40" customWidth="1"/>
  </cols>
  <sheetData>
    <row r="1" ht="30" customHeight="1" spans="1:20" x14ac:dyDescent="0.25">
      <c r="A1" s="4" t="s">
        <v>3</v>
      </c>
      <c r="B1" s="4" t="s">
        <v>5</v>
      </c>
      <c r="C1" s="4" t="s">
        <v>57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66</v>
      </c>
      <c r="M1" s="4" t="s">
        <v>67</v>
      </c>
      <c r="N1" s="4" t="s">
        <v>68</v>
      </c>
      <c r="O1" s="4" t="s">
        <v>69</v>
      </c>
      <c r="P1" s="4" t="s">
        <v>70</v>
      </c>
      <c r="Q1" s="4" t="s">
        <v>71</v>
      </c>
      <c r="R1" s="4" t="s">
        <v>72</v>
      </c>
      <c r="S1" s="4" t="s">
        <v>73</v>
      </c>
      <c r="T1" s="4" t="s">
        <v>74</v>
      </c>
    </row>
    <row r="2" spans="1:20" x14ac:dyDescent="0.25">
      <c r="A2" s="6">
        <v>1</v>
      </c>
      <c r="B2" s="6" t="s">
        <v>23</v>
      </c>
      <c r="C2" s="6">
        <v>3</v>
      </c>
      <c r="D2" s="6" t="s">
        <v>75</v>
      </c>
      <c r="E2" s="6" t="s">
        <v>76</v>
      </c>
      <c r="F2" s="6">
        <v>3</v>
      </c>
      <c r="G2" s="6" t="s">
        <v>77</v>
      </c>
      <c r="H2" s="6" t="s">
        <v>78</v>
      </c>
      <c r="I2" s="6">
        <v>2</v>
      </c>
      <c r="J2" s="6" t="s">
        <v>77</v>
      </c>
      <c r="K2" s="6" t="s">
        <v>79</v>
      </c>
      <c r="L2" s="6">
        <v>3</v>
      </c>
      <c r="M2" s="6" t="s">
        <v>77</v>
      </c>
      <c r="N2" s="6" t="s">
        <v>80</v>
      </c>
      <c r="O2" s="6">
        <v>3</v>
      </c>
      <c r="P2" s="6" t="s">
        <v>77</v>
      </c>
      <c r="Q2" s="6" t="s">
        <v>81</v>
      </c>
      <c r="R2" s="6">
        <v>2</v>
      </c>
      <c r="S2" s="6" t="s">
        <v>75</v>
      </c>
      <c r="T2" s="6" t="s">
        <v>82</v>
      </c>
    </row>
    <row r="3" spans="1:20" x14ac:dyDescent="0.25">
      <c r="A3" s="6">
        <v>2</v>
      </c>
      <c r="B3" s="6" t="s">
        <v>26</v>
      </c>
      <c r="C3" s="6">
        <v>2</v>
      </c>
      <c r="D3" s="6" t="s">
        <v>75</v>
      </c>
      <c r="E3" s="6" t="s">
        <v>83</v>
      </c>
      <c r="F3" s="6">
        <v>3</v>
      </c>
      <c r="G3" s="6" t="s">
        <v>77</v>
      </c>
      <c r="H3" s="6" t="s">
        <v>84</v>
      </c>
      <c r="I3" s="6">
        <v>3</v>
      </c>
      <c r="J3" s="6" t="s">
        <v>77</v>
      </c>
      <c r="K3" s="6" t="s">
        <v>85</v>
      </c>
      <c r="L3" s="6">
        <v>3</v>
      </c>
      <c r="M3" s="6" t="s">
        <v>77</v>
      </c>
      <c r="N3" s="6" t="s">
        <v>86</v>
      </c>
      <c r="O3" s="6">
        <v>3</v>
      </c>
      <c r="P3" s="6" t="s">
        <v>77</v>
      </c>
      <c r="Q3" s="6" t="s">
        <v>87</v>
      </c>
      <c r="R3" s="6">
        <v>2</v>
      </c>
      <c r="S3" s="6" t="s">
        <v>75</v>
      </c>
      <c r="T3" s="6" t="s">
        <v>82</v>
      </c>
    </row>
    <row r="4" spans="1:20" x14ac:dyDescent="0.25">
      <c r="A4" s="6">
        <v>3</v>
      </c>
      <c r="B4" s="6" t="s">
        <v>28</v>
      </c>
      <c r="C4" s="6">
        <v>3</v>
      </c>
      <c r="D4" s="6" t="s">
        <v>75</v>
      </c>
      <c r="E4" s="6" t="s">
        <v>88</v>
      </c>
      <c r="F4" s="6">
        <v>3</v>
      </c>
      <c r="G4" s="6" t="s">
        <v>77</v>
      </c>
      <c r="H4" s="6" t="s">
        <v>89</v>
      </c>
      <c r="I4" s="6">
        <v>3</v>
      </c>
      <c r="J4" s="6" t="s">
        <v>77</v>
      </c>
      <c r="K4" s="6" t="s">
        <v>90</v>
      </c>
      <c r="L4" s="6">
        <v>2</v>
      </c>
      <c r="M4" s="6" t="s">
        <v>77</v>
      </c>
      <c r="N4" s="6" t="s">
        <v>91</v>
      </c>
      <c r="O4" s="6">
        <v>3</v>
      </c>
      <c r="P4" s="6" t="s">
        <v>77</v>
      </c>
      <c r="Q4" s="6" t="s">
        <v>92</v>
      </c>
      <c r="R4" s="6">
        <v>2</v>
      </c>
      <c r="S4" s="6" t="s">
        <v>75</v>
      </c>
      <c r="T4" s="6" t="s">
        <v>82</v>
      </c>
    </row>
    <row r="5" spans="1:20" x14ac:dyDescent="0.25">
      <c r="A5" s="6">
        <v>4</v>
      </c>
      <c r="B5" s="6" t="s">
        <v>30</v>
      </c>
      <c r="C5" s="6">
        <v>3</v>
      </c>
      <c r="D5" s="6" t="s">
        <v>75</v>
      </c>
      <c r="E5" s="6" t="s">
        <v>93</v>
      </c>
      <c r="F5" s="6">
        <v>3</v>
      </c>
      <c r="G5" s="6" t="s">
        <v>77</v>
      </c>
      <c r="H5" s="6" t="s">
        <v>94</v>
      </c>
      <c r="I5" s="6">
        <v>3</v>
      </c>
      <c r="J5" s="6" t="s">
        <v>77</v>
      </c>
      <c r="K5" s="6" t="s">
        <v>95</v>
      </c>
      <c r="L5" s="6">
        <v>3</v>
      </c>
      <c r="M5" s="6" t="s">
        <v>77</v>
      </c>
      <c r="N5" s="6" t="s">
        <v>96</v>
      </c>
      <c r="O5" s="6">
        <v>2</v>
      </c>
      <c r="P5" s="6" t="s">
        <v>77</v>
      </c>
      <c r="Q5" s="6" t="s">
        <v>97</v>
      </c>
      <c r="R5" s="6">
        <v>2</v>
      </c>
      <c r="S5" s="6" t="s">
        <v>75</v>
      </c>
      <c r="T5" s="6" t="s">
        <v>82</v>
      </c>
    </row>
    <row r="6" spans="1:20" x14ac:dyDescent="0.25">
      <c r="A6" s="6">
        <v>5</v>
      </c>
      <c r="B6" s="6" t="s">
        <v>32</v>
      </c>
      <c r="C6" s="6">
        <v>2</v>
      </c>
      <c r="D6" s="6" t="s">
        <v>75</v>
      </c>
      <c r="E6" s="6" t="s">
        <v>98</v>
      </c>
      <c r="F6" s="6">
        <v>3</v>
      </c>
      <c r="G6" s="6" t="s">
        <v>77</v>
      </c>
      <c r="H6" s="6" t="s">
        <v>99</v>
      </c>
      <c r="I6" s="6">
        <v>3</v>
      </c>
      <c r="J6" s="6" t="s">
        <v>77</v>
      </c>
      <c r="K6" s="6" t="s">
        <v>100</v>
      </c>
      <c r="L6" s="6">
        <v>3</v>
      </c>
      <c r="M6" s="6" t="s">
        <v>77</v>
      </c>
      <c r="N6" s="6" t="s">
        <v>101</v>
      </c>
      <c r="O6" s="6">
        <v>3</v>
      </c>
      <c r="P6" s="6" t="s">
        <v>77</v>
      </c>
      <c r="Q6" s="6" t="s">
        <v>102</v>
      </c>
      <c r="R6" s="6">
        <v>2</v>
      </c>
      <c r="S6" s="6" t="s">
        <v>75</v>
      </c>
      <c r="T6" s="6" t="s">
        <v>82</v>
      </c>
    </row>
    <row r="7" spans="1:20" x14ac:dyDescent="0.25">
      <c r="A7" s="6">
        <v>6</v>
      </c>
      <c r="B7" s="6" t="s">
        <v>34</v>
      </c>
      <c r="C7" s="6">
        <v>1</v>
      </c>
      <c r="D7" s="6" t="s">
        <v>75</v>
      </c>
      <c r="E7" s="6" t="s">
        <v>103</v>
      </c>
      <c r="F7" s="6">
        <v>3</v>
      </c>
      <c r="G7" s="6" t="s">
        <v>77</v>
      </c>
      <c r="H7" s="6" t="s">
        <v>104</v>
      </c>
      <c r="I7" s="6">
        <v>3</v>
      </c>
      <c r="J7" s="6" t="s">
        <v>77</v>
      </c>
      <c r="K7" s="6" t="s">
        <v>105</v>
      </c>
      <c r="L7" s="6">
        <v>3</v>
      </c>
      <c r="M7" s="6" t="s">
        <v>77</v>
      </c>
      <c r="N7" s="6" t="s">
        <v>106</v>
      </c>
      <c r="O7" s="6">
        <v>3</v>
      </c>
      <c r="P7" s="6" t="s">
        <v>77</v>
      </c>
      <c r="Q7" s="6" t="s">
        <v>107</v>
      </c>
      <c r="R7" s="6">
        <v>2</v>
      </c>
      <c r="S7" s="6" t="s">
        <v>75</v>
      </c>
      <c r="T7" s="6" t="s">
        <v>82</v>
      </c>
    </row>
    <row r="8" spans="1:20" x14ac:dyDescent="0.25">
      <c r="A8" s="6">
        <v>7</v>
      </c>
      <c r="B8" s="6" t="s">
        <v>36</v>
      </c>
      <c r="C8" s="6">
        <v>2</v>
      </c>
      <c r="D8" s="6" t="s">
        <v>75</v>
      </c>
      <c r="E8" s="6" t="s">
        <v>108</v>
      </c>
      <c r="F8" s="6">
        <v>3</v>
      </c>
      <c r="G8" s="6" t="s">
        <v>77</v>
      </c>
      <c r="H8" s="6" t="s">
        <v>109</v>
      </c>
      <c r="I8" s="6">
        <v>2</v>
      </c>
      <c r="J8" s="6" t="s">
        <v>77</v>
      </c>
      <c r="K8" s="6" t="s">
        <v>110</v>
      </c>
      <c r="L8" s="6">
        <v>3</v>
      </c>
      <c r="M8" s="6" t="s">
        <v>77</v>
      </c>
      <c r="N8" s="6" t="s">
        <v>111</v>
      </c>
      <c r="O8" s="6">
        <v>3</v>
      </c>
      <c r="P8" s="6" t="s">
        <v>77</v>
      </c>
      <c r="Q8" s="6" t="s">
        <v>112</v>
      </c>
      <c r="R8" s="6">
        <v>2</v>
      </c>
      <c r="S8" s="6" t="s">
        <v>75</v>
      </c>
      <c r="T8" s="6" t="s">
        <v>82</v>
      </c>
    </row>
    <row r="9" spans="1:20" x14ac:dyDescent="0.25">
      <c r="A9" s="6">
        <v>8</v>
      </c>
      <c r="B9" s="6" t="s">
        <v>38</v>
      </c>
      <c r="C9" s="6">
        <v>1</v>
      </c>
      <c r="D9" s="6" t="s">
        <v>75</v>
      </c>
      <c r="E9" s="6" t="s">
        <v>103</v>
      </c>
      <c r="F9" s="6">
        <v>3</v>
      </c>
      <c r="G9" s="6" t="s">
        <v>77</v>
      </c>
      <c r="H9" s="6" t="s">
        <v>113</v>
      </c>
      <c r="I9" s="6">
        <v>3</v>
      </c>
      <c r="J9" s="6" t="s">
        <v>77</v>
      </c>
      <c r="K9" s="6" t="s">
        <v>114</v>
      </c>
      <c r="L9" s="6">
        <v>3</v>
      </c>
      <c r="M9" s="6" t="s">
        <v>77</v>
      </c>
      <c r="N9" s="6" t="s">
        <v>115</v>
      </c>
      <c r="O9" s="6">
        <v>3</v>
      </c>
      <c r="P9" s="6" t="s">
        <v>77</v>
      </c>
      <c r="Q9" s="6" t="s">
        <v>116</v>
      </c>
      <c r="R9" s="6">
        <v>2</v>
      </c>
      <c r="S9" s="6" t="s">
        <v>75</v>
      </c>
      <c r="T9" s="6" t="s">
        <v>82</v>
      </c>
    </row>
    <row r="10" spans="1:20" x14ac:dyDescent="0.25">
      <c r="A10" s="6">
        <v>9</v>
      </c>
      <c r="B10" s="6" t="s">
        <v>40</v>
      </c>
      <c r="C10" s="6">
        <v>1</v>
      </c>
      <c r="D10" s="6" t="s">
        <v>75</v>
      </c>
      <c r="E10" s="6" t="s">
        <v>117</v>
      </c>
      <c r="F10" s="6">
        <v>3</v>
      </c>
      <c r="G10" s="6" t="s">
        <v>77</v>
      </c>
      <c r="H10" s="6" t="s">
        <v>118</v>
      </c>
      <c r="I10" s="6">
        <v>3</v>
      </c>
      <c r="J10" s="6" t="s">
        <v>77</v>
      </c>
      <c r="K10" s="6" t="s">
        <v>119</v>
      </c>
      <c r="L10" s="6">
        <v>3</v>
      </c>
      <c r="M10" s="6" t="s">
        <v>77</v>
      </c>
      <c r="N10" s="6" t="s">
        <v>120</v>
      </c>
      <c r="O10" s="6">
        <v>3</v>
      </c>
      <c r="P10" s="6" t="s">
        <v>77</v>
      </c>
      <c r="Q10" s="6" t="s">
        <v>121</v>
      </c>
      <c r="R10" s="6">
        <v>2</v>
      </c>
      <c r="S10" s="6" t="s">
        <v>75</v>
      </c>
      <c r="T10" s="6" t="s">
        <v>82</v>
      </c>
    </row>
    <row r="11" spans="1:20" x14ac:dyDescent="0.25">
      <c r="A11" s="6">
        <v>10</v>
      </c>
      <c r="B11" s="6" t="s">
        <v>42</v>
      </c>
      <c r="C11" s="6">
        <v>1</v>
      </c>
      <c r="D11" s="6" t="s">
        <v>75</v>
      </c>
      <c r="E11" s="6" t="s">
        <v>122</v>
      </c>
      <c r="F11" s="6">
        <v>3</v>
      </c>
      <c r="G11" s="6" t="s">
        <v>77</v>
      </c>
      <c r="H11" s="6" t="s">
        <v>123</v>
      </c>
      <c r="I11" s="6">
        <v>3</v>
      </c>
      <c r="J11" s="6" t="s">
        <v>77</v>
      </c>
      <c r="K11" s="6" t="s">
        <v>124</v>
      </c>
      <c r="L11" s="6">
        <v>3</v>
      </c>
      <c r="M11" s="6" t="s">
        <v>77</v>
      </c>
      <c r="N11" s="6" t="s">
        <v>125</v>
      </c>
      <c r="O11" s="6">
        <v>3</v>
      </c>
      <c r="P11" s="6" t="s">
        <v>77</v>
      </c>
      <c r="Q11" s="6" t="s">
        <v>126</v>
      </c>
      <c r="R11" s="6">
        <v>2</v>
      </c>
      <c r="S11" s="6" t="s">
        <v>75</v>
      </c>
      <c r="T11" s="6" t="s">
        <v>82</v>
      </c>
    </row>
    <row r="12" spans="1:20" x14ac:dyDescent="0.25">
      <c r="A12" s="6">
        <v>11</v>
      </c>
      <c r="B12" s="6" t="s">
        <v>44</v>
      </c>
      <c r="C12" s="6">
        <v>1</v>
      </c>
      <c r="D12" s="6" t="s">
        <v>75</v>
      </c>
      <c r="E12" s="6" t="s">
        <v>103</v>
      </c>
      <c r="F12" s="6">
        <v>3</v>
      </c>
      <c r="G12" s="6" t="s">
        <v>77</v>
      </c>
      <c r="H12" s="6" t="s">
        <v>127</v>
      </c>
      <c r="I12" s="6">
        <v>3</v>
      </c>
      <c r="J12" s="6" t="s">
        <v>77</v>
      </c>
      <c r="K12" s="6" t="s">
        <v>128</v>
      </c>
      <c r="L12" s="6">
        <v>3</v>
      </c>
      <c r="M12" s="6" t="s">
        <v>77</v>
      </c>
      <c r="N12" s="6" t="s">
        <v>129</v>
      </c>
      <c r="O12" s="6">
        <v>3</v>
      </c>
      <c r="P12" s="6" t="s">
        <v>77</v>
      </c>
      <c r="Q12" s="6" t="s">
        <v>130</v>
      </c>
      <c r="R12" s="6">
        <v>2</v>
      </c>
      <c r="S12" s="6" t="s">
        <v>75</v>
      </c>
      <c r="T12" s="6" t="s">
        <v>82</v>
      </c>
    </row>
    <row r="13" spans="1:20" x14ac:dyDescent="0.25">
      <c r="A13" s="6">
        <v>12</v>
      </c>
      <c r="B13" s="6" t="s">
        <v>46</v>
      </c>
      <c r="C13" s="6">
        <v>1</v>
      </c>
      <c r="D13" s="6" t="s">
        <v>75</v>
      </c>
      <c r="E13" s="6" t="s">
        <v>103</v>
      </c>
      <c r="F13" s="6">
        <v>3</v>
      </c>
      <c r="G13" s="6" t="s">
        <v>77</v>
      </c>
      <c r="H13" s="6" t="s">
        <v>131</v>
      </c>
      <c r="I13" s="6">
        <v>3</v>
      </c>
      <c r="J13" s="6" t="s">
        <v>77</v>
      </c>
      <c r="K13" s="6" t="s">
        <v>132</v>
      </c>
      <c r="L13" s="6">
        <v>3</v>
      </c>
      <c r="M13" s="6" t="s">
        <v>77</v>
      </c>
      <c r="N13" s="6" t="s">
        <v>133</v>
      </c>
      <c r="O13" s="6">
        <v>3</v>
      </c>
      <c r="P13" s="6" t="s">
        <v>77</v>
      </c>
      <c r="Q13" s="6" t="s">
        <v>134</v>
      </c>
      <c r="R13" s="6">
        <v>2</v>
      </c>
      <c r="S13" s="6" t="s">
        <v>75</v>
      </c>
      <c r="T13" s="6" t="s">
        <v>82</v>
      </c>
    </row>
    <row r="14" spans="1:20" x14ac:dyDescent="0.25">
      <c r="A14" s="6">
        <v>13</v>
      </c>
      <c r="B14" s="6" t="s">
        <v>49</v>
      </c>
      <c r="C14" s="6">
        <v>3</v>
      </c>
      <c r="D14" s="6" t="s">
        <v>75</v>
      </c>
      <c r="E14" s="6" t="s">
        <v>135</v>
      </c>
      <c r="F14" s="6">
        <v>3</v>
      </c>
      <c r="G14" s="6" t="s">
        <v>75</v>
      </c>
      <c r="H14" s="6" t="s">
        <v>136</v>
      </c>
      <c r="I14" s="6">
        <v>1</v>
      </c>
      <c r="J14" s="6" t="s">
        <v>75</v>
      </c>
      <c r="K14" s="6" t="s">
        <v>137</v>
      </c>
      <c r="L14" s="6">
        <v>3</v>
      </c>
      <c r="M14" s="6" t="s">
        <v>75</v>
      </c>
      <c r="N14" s="6" t="s">
        <v>138</v>
      </c>
      <c r="O14" s="6">
        <v>1</v>
      </c>
      <c r="P14" s="6" t="s">
        <v>75</v>
      </c>
      <c r="Q14" s="6" t="s">
        <v>139</v>
      </c>
      <c r="R14" s="6">
        <v>3</v>
      </c>
      <c r="S14" s="6" t="s">
        <v>75</v>
      </c>
      <c r="T14" s="6" t="s">
        <v>140</v>
      </c>
    </row>
    <row r="15" spans="1:20" x14ac:dyDescent="0.25">
      <c r="A15" s="6">
        <v>14</v>
      </c>
      <c r="B15" s="6" t="s">
        <v>50</v>
      </c>
      <c r="C15" s="6">
        <v>3</v>
      </c>
      <c r="D15" s="6" t="s">
        <v>75</v>
      </c>
      <c r="E15" s="6" t="s">
        <v>141</v>
      </c>
      <c r="F15" s="6">
        <v>3</v>
      </c>
      <c r="G15" s="6" t="s">
        <v>75</v>
      </c>
      <c r="H15" s="6" t="s">
        <v>142</v>
      </c>
      <c r="I15" s="6">
        <v>1</v>
      </c>
      <c r="J15" s="6" t="s">
        <v>75</v>
      </c>
      <c r="K15" s="6" t="s">
        <v>137</v>
      </c>
      <c r="L15" s="6">
        <v>3</v>
      </c>
      <c r="M15" s="6" t="s">
        <v>75</v>
      </c>
      <c r="N15" s="6" t="s">
        <v>138</v>
      </c>
      <c r="O15" s="6">
        <v>1</v>
      </c>
      <c r="P15" s="6" t="s">
        <v>75</v>
      </c>
      <c r="Q15" s="6" t="s">
        <v>139</v>
      </c>
      <c r="R15" s="6">
        <v>3</v>
      </c>
      <c r="S15" s="6" t="s">
        <v>75</v>
      </c>
      <c r="T15" s="6" t="s">
        <v>140</v>
      </c>
    </row>
    <row r="16" spans="1:20" x14ac:dyDescent="0.25">
      <c r="A16" s="6">
        <v>15</v>
      </c>
      <c r="B16" s="6" t="s">
        <v>51</v>
      </c>
      <c r="C16" s="6">
        <v>3</v>
      </c>
      <c r="D16" s="6" t="s">
        <v>75</v>
      </c>
      <c r="E16" s="6" t="s">
        <v>143</v>
      </c>
      <c r="F16" s="6">
        <v>3</v>
      </c>
      <c r="G16" s="6" t="s">
        <v>75</v>
      </c>
      <c r="H16" s="6" t="s">
        <v>144</v>
      </c>
      <c r="I16" s="6">
        <v>1</v>
      </c>
      <c r="J16" s="6" t="s">
        <v>75</v>
      </c>
      <c r="K16" s="6" t="s">
        <v>137</v>
      </c>
      <c r="L16" s="6">
        <v>3</v>
      </c>
      <c r="M16" s="6" t="s">
        <v>75</v>
      </c>
      <c r="N16" s="6" t="s">
        <v>138</v>
      </c>
      <c r="O16" s="6">
        <v>1</v>
      </c>
      <c r="P16" s="6" t="s">
        <v>75</v>
      </c>
      <c r="Q16" s="6" t="s">
        <v>139</v>
      </c>
      <c r="R16" s="6">
        <v>3</v>
      </c>
      <c r="S16" s="6" t="s">
        <v>75</v>
      </c>
      <c r="T16" s="6" t="s">
        <v>140</v>
      </c>
    </row>
    <row r="17" spans="1:20" x14ac:dyDescent="0.25">
      <c r="A17" s="6">
        <v>16</v>
      </c>
      <c r="B17" s="6" t="s">
        <v>52</v>
      </c>
      <c r="C17" s="6">
        <v>3</v>
      </c>
      <c r="D17" s="6" t="s">
        <v>75</v>
      </c>
      <c r="E17" s="6" t="s">
        <v>145</v>
      </c>
      <c r="F17" s="6">
        <v>3</v>
      </c>
      <c r="G17" s="6" t="s">
        <v>75</v>
      </c>
      <c r="H17" s="6" t="s">
        <v>146</v>
      </c>
      <c r="I17" s="6">
        <v>1</v>
      </c>
      <c r="J17" s="6" t="s">
        <v>75</v>
      </c>
      <c r="K17" s="6" t="s">
        <v>137</v>
      </c>
      <c r="L17" s="6">
        <v>3</v>
      </c>
      <c r="M17" s="6" t="s">
        <v>75</v>
      </c>
      <c r="N17" s="6" t="s">
        <v>138</v>
      </c>
      <c r="O17" s="6">
        <v>1</v>
      </c>
      <c r="P17" s="6" t="s">
        <v>75</v>
      </c>
      <c r="Q17" s="6" t="s">
        <v>139</v>
      </c>
      <c r="R17" s="6">
        <v>3</v>
      </c>
      <c r="S17" s="6" t="s">
        <v>75</v>
      </c>
      <c r="T17" s="6" t="s">
        <v>140</v>
      </c>
    </row>
    <row r="18" spans="1:20" x14ac:dyDescent="0.25">
      <c r="A18" s="6">
        <v>17</v>
      </c>
      <c r="B18" s="6" t="s">
        <v>53</v>
      </c>
      <c r="C18" s="6">
        <v>3</v>
      </c>
      <c r="D18" s="6" t="s">
        <v>75</v>
      </c>
      <c r="E18" s="6" t="s">
        <v>147</v>
      </c>
      <c r="F18" s="6">
        <v>3</v>
      </c>
      <c r="G18" s="6" t="s">
        <v>75</v>
      </c>
      <c r="H18" s="6" t="s">
        <v>148</v>
      </c>
      <c r="I18" s="6">
        <v>1</v>
      </c>
      <c r="J18" s="6" t="s">
        <v>75</v>
      </c>
      <c r="K18" s="6" t="s">
        <v>137</v>
      </c>
      <c r="L18" s="6">
        <v>3</v>
      </c>
      <c r="M18" s="6" t="s">
        <v>75</v>
      </c>
      <c r="N18" s="6" t="s">
        <v>138</v>
      </c>
      <c r="O18" s="6">
        <v>1</v>
      </c>
      <c r="P18" s="6" t="s">
        <v>75</v>
      </c>
      <c r="Q18" s="6" t="s">
        <v>139</v>
      </c>
      <c r="R18" s="6">
        <v>3</v>
      </c>
      <c r="S18" s="6" t="s">
        <v>75</v>
      </c>
      <c r="T18" s="6" t="s">
        <v>140</v>
      </c>
    </row>
    <row r="19" spans="1:20" x14ac:dyDescent="0.25">
      <c r="A19" s="6">
        <v>18</v>
      </c>
      <c r="B19" s="6" t="s">
        <v>54</v>
      </c>
      <c r="C19" s="6">
        <v>3</v>
      </c>
      <c r="D19" s="6" t="s">
        <v>75</v>
      </c>
      <c r="E19" s="6" t="s">
        <v>149</v>
      </c>
      <c r="F19" s="6">
        <v>3</v>
      </c>
      <c r="G19" s="6" t="s">
        <v>75</v>
      </c>
      <c r="H19" s="6" t="s">
        <v>150</v>
      </c>
      <c r="I19" s="6">
        <v>1</v>
      </c>
      <c r="J19" s="6" t="s">
        <v>75</v>
      </c>
      <c r="K19" s="6" t="s">
        <v>137</v>
      </c>
      <c r="L19" s="6">
        <v>3</v>
      </c>
      <c r="M19" s="6" t="s">
        <v>75</v>
      </c>
      <c r="N19" s="6" t="s">
        <v>138</v>
      </c>
      <c r="O19" s="6">
        <v>1</v>
      </c>
      <c r="P19" s="6" t="s">
        <v>75</v>
      </c>
      <c r="Q19" s="6" t="s">
        <v>139</v>
      </c>
      <c r="R19" s="6">
        <v>3</v>
      </c>
      <c r="S19" s="6" t="s">
        <v>75</v>
      </c>
      <c r="T19" s="6" t="s">
        <v>140</v>
      </c>
    </row>
    <row r="20" spans="1:20" x14ac:dyDescent="0.25">
      <c r="A20" s="6">
        <v>19</v>
      </c>
      <c r="B20" s="6" t="s">
        <v>55</v>
      </c>
      <c r="C20" s="6">
        <v>1</v>
      </c>
      <c r="D20" s="6" t="s">
        <v>75</v>
      </c>
      <c r="E20" s="6" t="s">
        <v>151</v>
      </c>
      <c r="F20" s="6">
        <v>2</v>
      </c>
      <c r="G20" s="6" t="s">
        <v>75</v>
      </c>
      <c r="H20" s="6" t="s">
        <v>152</v>
      </c>
      <c r="I20" s="6">
        <v>1</v>
      </c>
      <c r="J20" s="6" t="s">
        <v>75</v>
      </c>
      <c r="K20" s="6" t="s">
        <v>137</v>
      </c>
      <c r="L20" s="6">
        <v>3</v>
      </c>
      <c r="M20" s="6" t="s">
        <v>75</v>
      </c>
      <c r="N20" s="6" t="s">
        <v>138</v>
      </c>
      <c r="O20" s="6">
        <v>1</v>
      </c>
      <c r="P20" s="6" t="s">
        <v>75</v>
      </c>
      <c r="Q20" s="6" t="s">
        <v>139</v>
      </c>
      <c r="R20" s="6">
        <v>3</v>
      </c>
      <c r="S20" s="6" t="s">
        <v>75</v>
      </c>
      <c r="T20" s="6" t="s">
        <v>140</v>
      </c>
    </row>
    <row r="21" spans="1:20" x14ac:dyDescent="0.25">
      <c r="A21" s="6">
        <v>20</v>
      </c>
      <c r="B21" s="6" t="s">
        <v>56</v>
      </c>
      <c r="C21" s="6">
        <v>1</v>
      </c>
      <c r="D21" s="6" t="s">
        <v>75</v>
      </c>
      <c r="E21" s="6" t="s">
        <v>151</v>
      </c>
      <c r="F21" s="6">
        <v>2</v>
      </c>
      <c r="G21" s="6" t="s">
        <v>75</v>
      </c>
      <c r="H21" s="6" t="s">
        <v>153</v>
      </c>
      <c r="I21" s="6">
        <v>1</v>
      </c>
      <c r="J21" s="6" t="s">
        <v>75</v>
      </c>
      <c r="K21" s="6" t="s">
        <v>137</v>
      </c>
      <c r="L21" s="6">
        <v>3</v>
      </c>
      <c r="M21" s="6" t="s">
        <v>75</v>
      </c>
      <c r="N21" s="6" t="s">
        <v>138</v>
      </c>
      <c r="O21" s="6">
        <v>1</v>
      </c>
      <c r="P21" s="6" t="s">
        <v>75</v>
      </c>
      <c r="Q21" s="6" t="s">
        <v>139</v>
      </c>
      <c r="R21" s="6">
        <v>3</v>
      </c>
      <c r="S21" s="6" t="s">
        <v>75</v>
      </c>
      <c r="T21" s="6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46" customWidth="1"/>
    <col min="2" max="2" width="14" customWidth="1"/>
    <col min="3" max="3" width="70" customWidth="1"/>
  </cols>
  <sheetData>
    <row r="1" spans="1:3" x14ac:dyDescent="0.25">
      <c r="A1" s="1" t="s">
        <v>154</v>
      </c>
      <c r="B1" s="13"/>
      <c r="C1" s="6" t="s">
        <v>155</v>
      </c>
    </row>
    <row r="2" spans="1:3" x14ac:dyDescent="0.25">
      <c r="A2" s="14" t="s">
        <v>156</v>
      </c>
      <c r="B2" s="13"/>
      <c r="C2" s="6" t="s">
        <v>155</v>
      </c>
    </row>
    <row r="3" spans="1:3" x14ac:dyDescent="0.25">
      <c r="A3" s="13" t="s">
        <v>157</v>
      </c>
      <c r="B3" s="15"/>
      <c r="C3" s="6" t="s">
        <v>158</v>
      </c>
    </row>
    <row r="4" spans="1:3" x14ac:dyDescent="0.25">
      <c r="A4" s="13" t="s">
        <v>159</v>
      </c>
      <c r="B4" s="15"/>
      <c r="C4" s="6" t="s">
        <v>160</v>
      </c>
    </row>
    <row r="5" spans="1:3" x14ac:dyDescent="0.25">
      <c r="A5" s="14" t="s">
        <v>161</v>
      </c>
      <c r="B5" s="13"/>
      <c r="C5" s="6" t="s">
        <v>155</v>
      </c>
    </row>
    <row r="6" spans="1:3" x14ac:dyDescent="0.25">
      <c r="A6" s="13" t="s">
        <v>162</v>
      </c>
      <c r="B6" s="13">
        <f>COUNTA(Candidates!$C$5:$C$24)</f>
      </c>
      <c r="C6" s="6" t="s">
        <v>163</v>
      </c>
    </row>
    <row r="7" spans="1:3" x14ac:dyDescent="0.25">
      <c r="A7" s="13" t="s">
        <v>164</v>
      </c>
      <c r="B7" s="13">
        <f>COUNTIF(Candidates!$M$5:$M$24,"yes")+COUNTIF(Candidates!$M$5:$M$24,"maybe")+COUNTIF(Candidates!$M$5:$M$24,"no")</f>
      </c>
      <c r="C7" s="6" t="s">
        <v>165</v>
      </c>
    </row>
    <row r="8" spans="1:3" x14ac:dyDescent="0.25">
      <c r="A8" s="13" t="s">
        <v>166</v>
      </c>
      <c r="B8" s="13">
        <f>COUNTIF(Candidates!$M$5:$M$24,"yes")</f>
      </c>
      <c r="C8" s="6" t="s">
        <v>155</v>
      </c>
    </row>
    <row r="9" spans="1:3" x14ac:dyDescent="0.25">
      <c r="A9" s="13" t="s">
        <v>167</v>
      </c>
      <c r="B9" s="13">
        <f>COUNTIF(Candidates!$M$5:$M$24,"maybe")</f>
      </c>
      <c r="C9" s="6" t="s">
        <v>155</v>
      </c>
    </row>
    <row r="10" spans="1:3" x14ac:dyDescent="0.25">
      <c r="A10" s="13" t="s">
        <v>168</v>
      </c>
      <c r="B10" s="13">
        <f>COUNTIF(Candidates!$M$5:$M$24,"no")</f>
      </c>
      <c r="C10" s="6" t="s">
        <v>155</v>
      </c>
    </row>
    <row r="11" spans="1:3" x14ac:dyDescent="0.25">
      <c r="A11" s="13" t="s">
        <v>169</v>
      </c>
      <c r="B11" s="16">
        <f>IF(B6=0,0,B8/B6)</f>
      </c>
      <c r="C11" s="6" t="s">
        <v>170</v>
      </c>
    </row>
    <row r="12" spans="1:3" x14ac:dyDescent="0.25">
      <c r="A12" s="13" t="s">
        <v>171</v>
      </c>
      <c r="B12" s="16">
        <f>IF(B6=0,0,(B8+B9)/B6)</f>
      </c>
      <c r="C12" s="6" t="s">
        <v>155</v>
      </c>
    </row>
    <row r="13" spans="1:3" x14ac:dyDescent="0.25">
      <c r="A13" s="13" t="s">
        <v>172</v>
      </c>
      <c r="B13" s="16">
        <f>COUNTIFS(Candidates!$A$5:$A$24,"&lt;=10",Candidates!$M$5:$M$24,"yes")/10</f>
      </c>
      <c r="C13" s="6" t="s">
        <v>173</v>
      </c>
    </row>
    <row r="14" spans="1:3" x14ac:dyDescent="0.25">
      <c r="A14" s="13" t="s">
        <v>174</v>
      </c>
      <c r="B14" s="16">
        <f>COUNTIFS(Candidates!$R$5:$R$24,"&lt;=10",Candidates!$M$5:$M$24,"yes")/10</f>
      </c>
      <c r="C14" s="6" t="s">
        <v>175</v>
      </c>
    </row>
    <row r="15" spans="1:3" x14ac:dyDescent="0.25">
      <c r="A15" s="13" t="s">
        <v>176</v>
      </c>
      <c r="B15" s="13">
        <f>COUNTIF(Candidates!$K$5:$K$24,"&gt;=15")</f>
      </c>
      <c r="C15" s="6" t="s">
        <v>155</v>
      </c>
    </row>
    <row r="16" spans="1:3" x14ac:dyDescent="0.25">
      <c r="A16" s="13" t="s">
        <v>177</v>
      </c>
      <c r="B16" s="13">
        <f>SUM(Candidates!$O$5:$O$24)</f>
      </c>
      <c r="C16" s="6" t="s">
        <v>178</v>
      </c>
    </row>
    <row r="17" spans="1:3" x14ac:dyDescent="0.25">
      <c r="A17" s="13" t="s">
        <v>179</v>
      </c>
      <c r="B17" s="17">
        <f>IF(B8=0,0,B4/60/B8)</f>
      </c>
      <c r="C17" s="6" t="s">
        <v>180</v>
      </c>
    </row>
    <row r="18" spans="1:3" x14ac:dyDescent="0.25">
      <c r="A18" s="14" t="s">
        <v>181</v>
      </c>
      <c r="B18" s="13"/>
      <c r="C18" s="6" t="s">
        <v>155</v>
      </c>
    </row>
    <row r="19" spans="1:3" x14ac:dyDescent="0.25">
      <c r="A19" s="13" t="s">
        <v>182</v>
      </c>
      <c r="B19" s="13" t="s">
        <v>183</v>
      </c>
      <c r="C19" s="6" t="s">
        <v>155</v>
      </c>
    </row>
    <row r="20" spans="1:3" x14ac:dyDescent="0.25">
      <c r="A20" s="13" t="s">
        <v>184</v>
      </c>
      <c r="B20" s="13" t="s">
        <v>185</v>
      </c>
      <c r="C20" s="6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6" customWidth="1"/>
    <col min="2" max="2" width="26" customWidth="1"/>
    <col min="3" max="3" width="30" customWidth="1"/>
    <col min="4" max="4" width="34" customWidth="1"/>
    <col min="5" max="5" width="30" customWidth="1"/>
  </cols>
  <sheetData>
    <row r="1" ht="30" customHeight="1" spans="1:5" x14ac:dyDescent="0.25">
      <c r="A1" s="4" t="s">
        <v>186</v>
      </c>
      <c r="B1" s="18" t="s">
        <v>187</v>
      </c>
      <c r="C1" s="19" t="s">
        <v>188</v>
      </c>
      <c r="D1" s="20" t="s">
        <v>189</v>
      </c>
      <c r="E1" s="4" t="s">
        <v>190</v>
      </c>
    </row>
    <row r="2" spans="1:5" x14ac:dyDescent="0.25">
      <c r="A2" s="6" t="s">
        <v>191</v>
      </c>
      <c r="B2" s="6" t="s">
        <v>192</v>
      </c>
      <c r="C2" s="6" t="s">
        <v>193</v>
      </c>
      <c r="D2" s="6" t="s">
        <v>194</v>
      </c>
      <c r="E2" s="6" t="s">
        <v>195</v>
      </c>
    </row>
    <row r="3" spans="1:5" x14ac:dyDescent="0.25">
      <c r="A3" s="6" t="s">
        <v>8</v>
      </c>
      <c r="B3" s="6" t="s">
        <v>196</v>
      </c>
      <c r="C3" s="6" t="s">
        <v>197</v>
      </c>
      <c r="D3" s="6" t="s">
        <v>198</v>
      </c>
      <c r="E3" s="6" t="s">
        <v>199</v>
      </c>
    </row>
    <row r="4" spans="1:5" x14ac:dyDescent="0.25">
      <c r="A4" s="6" t="s">
        <v>200</v>
      </c>
      <c r="B4" s="6" t="s">
        <v>201</v>
      </c>
      <c r="C4" s="6" t="s">
        <v>202</v>
      </c>
      <c r="D4" s="6" t="s">
        <v>203</v>
      </c>
      <c r="E4" s="6" t="s">
        <v>199</v>
      </c>
    </row>
    <row r="5" spans="1:5" x14ac:dyDescent="0.25">
      <c r="A5" s="6" t="s">
        <v>204</v>
      </c>
      <c r="B5" s="6" t="s">
        <v>205</v>
      </c>
      <c r="C5" s="6" t="s">
        <v>206</v>
      </c>
      <c r="D5" s="6" t="s">
        <v>207</v>
      </c>
      <c r="E5" s="6" t="s">
        <v>199</v>
      </c>
    </row>
    <row r="6" spans="1:5" x14ac:dyDescent="0.25">
      <c r="A6" s="6" t="s">
        <v>208</v>
      </c>
      <c r="B6" s="6" t="s">
        <v>209</v>
      </c>
      <c r="C6" s="6" t="s">
        <v>210</v>
      </c>
      <c r="D6" s="6" t="s">
        <v>211</v>
      </c>
      <c r="E6" s="6" t="s">
        <v>199</v>
      </c>
    </row>
    <row r="7" spans="1:5" x14ac:dyDescent="0.25">
      <c r="A7" s="6" t="s">
        <v>12</v>
      </c>
      <c r="B7" s="6" t="s">
        <v>212</v>
      </c>
      <c r="C7" s="6" t="s">
        <v>213</v>
      </c>
      <c r="D7" s="6" t="s">
        <v>214</v>
      </c>
      <c r="E7" s="6" t="s">
        <v>195</v>
      </c>
    </row>
    <row r="8" spans="1:5" x14ac:dyDescent="0.25">
      <c r="A8" s="6" t="s">
        <v>13</v>
      </c>
      <c r="B8" s="6" t="s">
        <v>215</v>
      </c>
      <c r="C8" s="6" t="s">
        <v>216</v>
      </c>
      <c r="D8" s="6" t="s">
        <v>217</v>
      </c>
      <c r="E8" s="6" t="s">
        <v>155</v>
      </c>
    </row>
    <row r="10" spans="1:1" x14ac:dyDescent="0.25">
      <c r="A10" s="21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Score reasons</vt:lpstr>
      <vt:lpstr>Summary</vt:lpstr>
      <vt:lpstr>Rubric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opportunity-finder scout</dc:creator>
  <dc:title/>
  <dc:subject/>
  <dc:description/>
  <cp:keywords/>
  <cp:category/>
  <cp:lastModifiedBy>Unknown</cp:lastModifiedBy>
  <dcterms:created xsi:type="dcterms:W3CDTF">2026-10-04T13:58:46Z</dcterms:created>
  <dcterms:modified xsi:type="dcterms:W3CDTF">2026-10-04T13:58:46Z</dcterms:modified>
</cp:coreProperties>
</file>