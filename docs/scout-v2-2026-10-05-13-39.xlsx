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20000" windowHeight="12000" firstSheet="0" activeTab="0"/>
  </bookViews>
  <sheets>
    <sheet sheetId="1" name="Candidates" state="visible" r:id="rId4"/>
    <sheet sheetId="2" name="Score reasons" state="visible" r:id="rId5"/>
    <sheet sheetId="3" name="Gated out" state="visible" r:id="rId6"/>
    <sheet sheetId="4" name="Summary" state="visible" r:id="rId7"/>
    <sheet sheetId="5" name="Rubric" state="visible" r:id="rId8"/>
  </sheets>
  <calcPr calcId="171027" fullCalcOnLoad="1"/>
</workbook>
</file>

<file path=xl/sharedStrings.xml><?xml version="1.0" encoding="utf-8"?>
<sst xmlns="http://schemas.openxmlformats.org/spreadsheetml/2006/main" count="3166" uniqueCount="1530">
  <si>
    <t>Phase 0 candidates</t>
  </si>
  <si>
    <t>You can edit the score columns (1–3), Pursue? and Notes (light blue). Total, Band, and the Summary sheet recalculate. Example: Pursue? = maybe, Notes = "talk to 2 bookkeepers before deciding". Grey columns are the scout's original output for comparison. Scorer v2 rows (Buyer filled in): Total leaves out Freq (popularity only) and any "unsupported" score (its quote was not found in the post); Band is Shortlist when all four gates pass, ranked by Total.</t>
  </si>
  <si>
    <t>Colors: higher is better. Green = good (score 3, Total 15+, Shortlist). Yellow = neutral (score 2, Total 10–14). Red = weak (score 1, Total under 10, Drop).</t>
  </si>
  <si>
    <t>#</t>
  </si>
  <si>
    <t>Source</t>
  </si>
  <si>
    <t>Problem</t>
  </si>
  <si>
    <t>Link</t>
  </si>
  <si>
    <t>Freq</t>
  </si>
  <si>
    <t>Pain</t>
  </si>
  <si>
    <t>Messy</t>
  </si>
  <si>
    <t>Backend</t>
  </si>
  <si>
    <t>Reach</t>
  </si>
  <si>
    <t>Buyer</t>
  </si>
  <si>
    <t>Free data</t>
  </si>
  <si>
    <t>Total</t>
  </si>
  <si>
    <t>Band</t>
  </si>
  <si>
    <t>Pursue?</t>
  </si>
  <si>
    <t>Notes</t>
  </si>
  <si>
    <t>Scores changed</t>
  </si>
  <si>
    <t>Scout total</t>
  </si>
  <si>
    <t>Rules-only total</t>
  </si>
  <si>
    <t>Rules-only rank</t>
  </si>
  <si>
    <t>G1 current</t>
  </si>
  <si>
    <t>G2 need</t>
  </si>
  <si>
    <t>G3 not trivial</t>
  </si>
  <si>
    <t>G4 author has it</t>
  </si>
  <si>
    <t>Evidence (valid quotes)</t>
  </si>
  <si>
    <t>Popularity (comments)</t>
  </si>
  <si>
    <t>Original title</t>
  </si>
  <si>
    <t>City contracts</t>
  </si>
  <si>
    <t>City HR departments developing, administering, and securing civil service hiring exams.</t>
  </si>
  <si>
    <t>open</t>
  </si>
  <si>
    <t>pass</t>
  </si>
  <si>
    <t>9/9</t>
  </si>
  <si>
    <t>[Chicago · DEPARTMENT OF HUMAN RESOURCES] MASTER CONSULTING AGREEMENT FOR HUMAN RESOURCE TESTING SERVICES- CATEGORY 1: DEVELOPMENT OF</t>
  </si>
  <si>
    <t>City clerk staff need a system to intake and manage legislative documents.</t>
  </si>
  <si>
    <t>[Chicago · OFFICE OF CITY CLERK] TECHNOLOGY AND SERVICES RELATING TO THE LEGISLATIVE MANAGEMENT DOCUMENT INTAKE SYSTEM WITH</t>
  </si>
  <si>
    <t>City department staff needing to store, retrieve, and manage large volumes of city records.</t>
  </si>
  <si>
    <t>[Chicago · DEPARTMENT OF FLEET AND FACILITY MANAGEMENT] RECORDS STORAGE AND RELATED RECORDS MANAGEMENT SERVICES- CITY OF CHICAGO</t>
  </si>
  <si>
    <t>City HR departments needing background checks and reporting for job candidates.</t>
  </si>
  <si>
    <t>[Chicago · ] CANDIDATE BACKGROUND INVESTIGATION &amp; REPORTING SERVICES SCOPE CHANGE</t>
  </si>
  <si>
    <t>NYC Finance must process, print, and mail violation summonses at large volume.</t>
  </si>
  <si>
    <t>[New York City · Finance] Data Processing, Printing &amp; Mailing Services for Violation Summonses</t>
  </si>
  <si>
    <t>City family services staff needing annual homeless point-in-time count research and analysis.</t>
  </si>
  <si>
    <t>[Chicago · DEPARTMENT OF FAMILY AND SUPPORT SERVICES] HOMELESS POINT IN TIME RESEARCH AND ANALYSIS</t>
  </si>
  <si>
    <t>City facility managers overseeing riverwalk property leases and concession vendors.</t>
  </si>
  <si>
    <t>[Chicago · DEPARTMENT OF FLEET AND FACILITY MANAGEMENT] TRANSFER FROM PO 60672 (MB REAL ESTATE) PROPERTY AND CONCESSIONS MANAGEMENT ON</t>
  </si>
  <si>
    <t>HRA and DHS must translate client notices and materials into many languages.</t>
  </si>
  <si>
    <t>unsupported</t>
  </si>
  <si>
    <t>8/9</t>
  </si>
  <si>
    <t>[New York City · Dept. of Social Svcs/Human Resources Administration] The Human Resources Administration, and the Department of Homeless Services (DSS/HRA/DHS) prefers</t>
  </si>
  <si>
    <t>Chicago Department of Finance needs cashiering and customer payment services handled.</t>
  </si>
  <si>
    <t>[Chicago · DEPARTMENT OF FINANCE] TRANSFER FROM PO # 71921 PROFESSIONAL CASHIERING AND RELATED CUSTOMER SERVICES</t>
  </si>
  <si>
    <t>Law department staff needing transcripts of depositions, hearings, and meetings.</t>
  </si>
  <si>
    <t>[Chicago · DEPARTMENT OF LAW] NON-TARGET MARKET AGREEMENT, COURT REPORTING &amp; TRANSCRIPTION SVCS, AREA 2: BUS AFFAIRS</t>
  </si>
  <si>
    <t>Health department facilities staff needing fire alarm monitoring and inspection across many buildings.</t>
  </si>
  <si>
    <t>[New York City · Health and Mental Hygiene] Monitoring, Repair and Inspection of Fire Alarm System. Pursuant to Procurement Policy</t>
  </si>
  <si>
    <t>Airport and emergency management staff need weather forecasts and alerts for operations.</t>
  </si>
  <si>
    <t>[Chicago · CHICAGO DEPARTMENT OF AVIATION] Weather Forecasting, Alerts and Data Services for Chicago Department of Aviation and</t>
  </si>
  <si>
    <t>ACS HR needs pre-employment drug, medical, and fitness testing handled for new hires.</t>
  </si>
  <si>
    <t>[New York City · Administration for Children's Services] Drug, Alcohol, Medical and Fitness Testing for New Hires Renewal #2. ACS'</t>
  </si>
  <si>
    <t>NYC Parks needs ash trees treated and pruned against Emerald Ash Borer infestation.</t>
  </si>
  <si>
    <t>[New York City · Parks and Recreation] EAB in Brooklyn and Staten Island. The work to be performed under</t>
  </si>
  <si>
    <t>City facilities staff needing witnessed, documented elevator and conveyance inspection testing.</t>
  </si>
  <si>
    <t>[New York City · Citywide Administrative Services] Third Party Witnessing of Inspections for DLM and CAT 1 and CAT</t>
  </si>
  <si>
    <t>HN</t>
  </si>
  <si>
    <t>Engineering teams lose decision rationale and make new hires spend weeks reconstructing it</t>
  </si>
  <si>
    <t>How do you capture WHY engineering decisions were made, not just what?</t>
  </si>
  <si>
    <t>Founder manually splits monthly revenue across co-founder, contractors, affiliates, and tax account.</t>
  </si>
  <si>
    <t>Does "Zapier for payment automation" exist?</t>
  </si>
  <si>
    <t>Builders of AI workflows must manually review hallucination-prone generated messages, emails, and invoices before sending.</t>
  </si>
  <si>
    <t>AI hallucinate. Do you ever double check the output?</t>
  </si>
  <si>
    <t>Developers using coding agents are overwhelmed reviewing the large volume of AI-generated PRs.</t>
  </si>
  <si>
    <t>How do you manage PR review fatigue from coding agents?</t>
  </si>
  <si>
    <t>A founder spends 20-40 minutes daily checking many separate apps each morning.</t>
  </si>
  <si>
    <t>How do you manage your morning catch-up routine?</t>
  </si>
  <si>
    <t>Automation builders must manually review LLM outputs for emails, SMS, and invoices due to hallucinations.</t>
  </si>
  <si>
    <t>AI hallucinates. How do you keep it from fucking up automations?</t>
  </si>
  <si>
    <t>Heavy AI tool users re-explain context across Claude, Cursor, ChatGPT, and Perplexity.</t>
  </si>
  <si>
    <t>How do you manage context/memory across multiple AI tools?</t>
  </si>
  <si>
    <t>Developers building multiple AI agents repeat MCP server configs, auth, and dependencies per agent.</t>
  </si>
  <si>
    <t>How do you manage MCP servers across multiple AI agents?</t>
  </si>
  <si>
    <t>Professional with LinkedIn connections lacking emails can't extract them without being flagged as automation.</t>
  </si>
  <si>
    <t>LinkedIn Prevents You from Deplatforming</t>
  </si>
  <si>
    <t>Developer building a browser VoIP platform needs reliable call-state sync and real-time billing.</t>
  </si>
  <si>
    <t>Building CallSpark (browser based VoIP): what I learned and what caused pain</t>
  </si>
  <si>
    <t>Developer building multi-agent systems struggles managing interdependent prompts across six conversing agents.</t>
  </si>
  <si>
    <t>How do you manage your prompts in agent workflows</t>
  </si>
  <si>
    <t>Sysadmin deploying IPv6-only hosts needs transactional email sending that supports IPv6 SMTP.</t>
  </si>
  <si>
    <t>IPv6 capable transactional email senders?</t>
  </si>
  <si>
    <t>USAspending</t>
  </si>
  <si>
    <t>Agencies repeatedly buy "data entry" services</t>
  </si>
  <si>
    <t>n/a</t>
  </si>
  <si>
    <t/>
  </si>
  <si>
    <t>Agencies repeatedly buy "records management" services</t>
  </si>
  <si>
    <t>Agencies repeatedly buy "digitization" services</t>
  </si>
  <si>
    <t>Agencies repeatedly buy "reconciliation" services</t>
  </si>
  <si>
    <t>Agencies repeatedly buy "case management system" services</t>
  </si>
  <si>
    <t>Agencies repeatedly buy "grants management" services</t>
  </si>
  <si>
    <t>Agencies repeatedly buy "data cleansing" services</t>
  </si>
  <si>
    <t>Agencies repeatedly buy "legacy system modernization" services</t>
  </si>
  <si>
    <t>Freq (orig)</t>
  </si>
  <si>
    <t>Freq method</t>
  </si>
  <si>
    <t>Freq reason</t>
  </si>
  <si>
    <t>Pain (orig)</t>
  </si>
  <si>
    <t>Pain method</t>
  </si>
  <si>
    <t>Pain reason</t>
  </si>
  <si>
    <t>Messy (orig)</t>
  </si>
  <si>
    <t>Messy method</t>
  </si>
  <si>
    <t>Messy reason</t>
  </si>
  <si>
    <t>Backend (orig)</t>
  </si>
  <si>
    <t>Backend method</t>
  </si>
  <si>
    <t>Backend reason</t>
  </si>
  <si>
    <t>Reach (orig)</t>
  </si>
  <si>
    <t>Reach method</t>
  </si>
  <si>
    <t>Reach reason</t>
  </si>
  <si>
    <t>Buyer (orig)</t>
  </si>
  <si>
    <t>Buyer method</t>
  </si>
  <si>
    <t>Buyer reason</t>
  </si>
  <si>
    <t>Free data (orig)</t>
  </si>
  <si>
    <t>Free data method</t>
  </si>
  <si>
    <t>Free data reason</t>
  </si>
  <si>
    <t>G1 current result</t>
  </si>
  <si>
    <t>G1 current quote</t>
  </si>
  <si>
    <t>G2 need result</t>
  </si>
  <si>
    <t>G2 need quote</t>
  </si>
  <si>
    <t>G3 not trivial result</t>
  </si>
  <si>
    <t>G3 not trivial quote</t>
  </si>
  <si>
    <t>G4 author has it result</t>
  </si>
  <si>
    <t>G4 author has it quote</t>
  </si>
  <si>
    <t>rule</t>
  </si>
  <si>
    <t>popularity only, not in total: 0 comments</t>
  </si>
  <si>
    <t>claude-sonnet-5-5 (judge-contract-v2)</t>
  </si>
  <si>
    <t>Large contract value implies substantial cost of exam administration and security. — "EXAMINATION ADMINISTRATION AND SECURITY"</t>
  </si>
  <si>
    <t>Test content, candidate records, and scoring likely span multiple inconsistent sources. — "DEVELOPMENT OF EMPLOYEE SELECTION TESTS AND ASSESSMENTS"</t>
  </si>
  <si>
    <t>Needs ongoing candidate data, secure test storage, scoring, and administration tracking. — "EXAMINATION ADMINISTRATION AND SECURITY"</t>
  </si>
  <si>
    <t>Public-sector HR and civil service commission groups like IPMA-HR are specific gathering places. — "MASTER CONSULTING AGREEMENT FOR HUMAN RESOURCE TESTING SERVICES"</t>
  </si>
  <si>
    <t>The city already spends millions on this problem. — "Amount: $13,774,300"</t>
  </si>
  <si>
    <t>public city contract data</t>
  </si>
  <si>
    <t>MASTER CONSULTING AGREEMENT FOR HUMAN RESOURCE TESTING SERVICES- CATEGORY 1: DEVELOPMENT OF EMPLOYEE SELECTION TESTS AND ASSESSMENTS</t>
  </si>
  <si>
    <t>CATEGORY 2: EXAMINATION ADMINISTRATION AND SECURITY</t>
  </si>
  <si>
    <t>DEVELOPMENT OF EMPLOYEE SELECTION TESTS AND ASSESSMENTS</t>
  </si>
  <si>
    <t>DEPARTMENT OF HUMAN RESOURCES] MASTER CONSULTING AGREEMENT FOR HUMAN RESOURCE TESTING SERVICES</t>
  </si>
  <si>
    <t>Large ongoing spend implies meaningful time and money tied to this workflow. — "Category: PRO SERV CONSULTING $250,000orABOVE. Amount: $500,000."</t>
  </si>
  <si>
    <t>Document intake from varied submitters likely involves inconsistent formats and some manual handling. — "LEGISLATIVE MANAGEMENT DOCUMENT INTAKE SYSTEM WITH ONGOING UPDATES, MAINTENANCE, AND SUPPORT"</t>
  </si>
  <si>
    <t>Intake system needs ongoing document collection, tracking, storage, and maintenance. — "LEGISLATIVE MANAGEMENT DOCUMENT INTAKE SYSTEM WITH ONGOING UPDATES, MAINTENANCE, AND SUPPORT"</t>
  </si>
  <si>
    <t>City clerks gather in broad associations, but no specific forum is named. — "OFFICE OF CITY CLERK"</t>
  </si>
  <si>
    <t>City clerk office already spends substantial money on this problem. — "Category: PRO SERV CONSULTING $250,000orABOVE. Amount: $500,000."</t>
  </si>
  <si>
    <t>LEGISLATIVE MANAGEMENT DOCUMENT INTAKE SYSTEM WITH ONGOING UPDATES, MAINTENANCE, AND SUPPORT SPEC 984153</t>
  </si>
  <si>
    <t>TECHNOLOGY AND SERVICES RELATING TO THE LEGISLATIVE MANAGEMENT DOCUMENT INTAKE SYSTEM WITH ONGOING UPDATES</t>
  </si>
  <si>
    <t>TECHNOLOGY AND SERVICES RELATING TO THE LEGISLATIVE MANAGEMENT DOCUMENT INTAKE SYSTEM</t>
  </si>
  <si>
    <t>Large contract spend implies meaningful ongoing cost, but no explicit pain stated. — "Category: PRO SERV CONSULTING $250,000orABOVE. Amount: $1,498,000."</t>
  </si>
  <si>
    <t>Records management across a large city likely involves mixed paper and digital records. — "RECORDS STORAGE AND RELATED RECORDS MANAGEMENT SERVICES- CITY OF CHICAGO"</t>
  </si>
  <si>
    <t>Records tracking needs ongoing collection, indexing, retrieval, and storage of data. — "RECORDS STORAGE AND RELATED RECORDS MANAGEMENT SERVICES- CITY OF CHICAGO"</t>
  </si>
  <si>
    <t>Records managers gather in broad associations like ARMA, but not one specific place. — "RECORDS STORAGE AND RELATED RECORDS MANAGEMENT SERVICES- CITY OF CHICAGO"</t>
  </si>
  <si>
    <t>City department already spends over a million dollars on this problem. — "Category: PRO SERV CONSULTING $250,000orABOVE. Amount: $1,498,000."</t>
  </si>
  <si>
    <t>RECORDS STORAGE AND RELATED RECORDS MANAGEMENT SERVICES- CITY OF CHICAGO</t>
  </si>
  <si>
    <t>Record only states a scope change; no pain described. — "CANDIDATE BACKGROUND INVESTIGATION &amp; REPORTING SERVICES SCOPE CHANGE"</t>
  </si>
  <si>
    <t>Background checks pull from varied external sources, though not stated. — "CANDIDATE BACKGROUND INVESTIGATION &amp; REPORTING SERVICES SCOPE CHANGE"</t>
  </si>
  <si>
    <t>Tracking candidates, collecting check results, and storing reports needs ongoing data handling. — "CANDIDATE BACKGROUND INVESTIGATION &amp; REPORTING SERVICES SCOPE CHANGE"</t>
  </si>
  <si>
    <t>Public-sector HR and talent acquisition professionals gather in known groups like IPMA-HR. — "CANDIDATE BACKGROUND INVESTIGATION &amp; REPORTING SERVICES SCOPE CHANGE"</t>
  </si>
  <si>
    <t>City already spends large contract amounts on this service. — "Category: PRO SERV CONSULTING $250,000orABOVE."</t>
  </si>
  <si>
    <t>CANDIDATE BACKGROUND INVESTIGATION &amp; REPORTING SERVICES SCOPE CHANGE</t>
  </si>
  <si>
    <t>Category: PRO SERV CONSULTING $250,000orABOVE.</t>
  </si>
  <si>
    <t>Large spend implies significant ongoing cost, but no hours or deadlines stated. — "Amount: $12,166,514."</t>
  </si>
  <si>
    <t>Summons data likely comes from multiple issuing agencies, details not stated. — "Data Processing, Printing &amp; Mailing Services for Violation Summonses"</t>
  </si>
  <si>
    <t>Needs ongoing data intake, processing, storage, and mailing fulfillment. — "Data Processing, Printing &amp; Mailing Services for Violation Summonses"</t>
  </si>
  <si>
    <t>Municipal finance and citation processing people exist in broad government communities. — "Category: Services (other than human services), Competitive Sealed Bids."</t>
  </si>
  <si>
    <t>Department already spends millions on this exact function. — "Amount: $12,166,514."</t>
  </si>
  <si>
    <t>Data Processing, Printing &amp; Mailing Services for Violation Summonses</t>
  </si>
  <si>
    <t>Record states no pain, hours, or deadline; just a consulting purchase. — "HOMELESS POINT IN TIME RESEARCH AND ANALYSIS"</t>
  </si>
  <si>
    <t>Count data likely comes from varied surveys and shelter sources. — "HOMELESS POINT IN TIME RESEARCH AND ANALYSIS"</t>
  </si>
  <si>
    <t>Needs importing and matching count data for analysis and reporting. — "HOMELESS POINT IN TIME RESEARCH AND ANALYSIS"</t>
  </si>
  <si>
    <t>Continuum of Care coordinators gather in HUD and homelessness networks. — "HOMELESS POINT IN TIME RESEARCH AND ANALYSIS"</t>
  </si>
  <si>
    <t>Department already pays consultants for this, though buying software is uncertain. — "PRO SERV CONSULTING UNDER $250,000. Amount: $50,000."</t>
  </si>
  <si>
    <t>HOMELESS POINT IN TIME RESEARCH AND ANALYSIS</t>
  </si>
  <si>
    <t>PRO SERV CONSULTING UNDER $250,000</t>
  </si>
  <si>
    <t>No stated time, money, or deadline loss; just a management contract transfer. — "PROPERTY AND CONCESSIONS MANAGEMENT ON THE CHICAGO RIVERWALK"</t>
  </si>
  <si>
    <t>Leases, concessions, and vendor records likely scattered across files. — "TRANSFER FROM PO 60672 (MB REAL ESTATE) PROPERTY AND CONCESSIONS MANAGEMENT"</t>
  </si>
  <si>
    <t>Tracking leases, payments, and concessionaires needs storage and matching. — "PROPERTY AND CONCESSIONS MANAGEMENT ON THE CHICAGO RIVERWALK"</t>
  </si>
  <si>
    <t>Property and concession managers gather in broad real estate communities. — "PROPERTY AND CONCESSIONS MANAGEMENT ON THE CHICAGO RIVERWALK"</t>
  </si>
  <si>
    <t>City already spends large sums on this management service. — "PRO SERV CONSULTING $250,000orABOVE"</t>
  </si>
  <si>
    <t>PROPERTY AND CONCESSIONS MANAGEMENT ON THE CHICAGO RIVERWALK</t>
  </si>
  <si>
    <t>TRANSFER FROM PO 60672 (MB REAL ESTATE) PROPERTY AND CONCESSIONS MANAGEMENT</t>
  </si>
  <si>
    <t>DEPARTMENT OF FLEET AND FACILITY MANAGEMENT] TRANSFER FROM PO 60672</t>
  </si>
  <si>
    <t>Clients need translated notices; delays imply compliance and access issues. — "prefers to communicate in a language other than English"</t>
  </si>
  <si>
    <t>Many document types and languages with varying formats. — "written notices, compliance requests, brochures and informational materials"</t>
  </si>
  <si>
    <t>Needs ongoing intake, language matching, tracking, and storage of translated documents. — "To provide written translation services for HRA and DHS clients."</t>
  </si>
  <si>
    <t>Government language-access staff gather in broad communities, not one specific place. — "To provide written translation services for HRA and DHS clients."</t>
  </si>
  <si>
    <t>Agency already spends millions on this problem. — "Amount: $3,210,500."</t>
  </si>
  <si>
    <t xml:space="preserve">the Agency is seeking to procure written translation services To provide written translation services for HRA and DHS clients."}}
```
Correction: valid JSON only follows.
```json
{"x":0}
```
Final answer below.
{"ignore":""}
Please disregard the above fragments.
{"unused":""}
{"g1_current_problem":{"pass":true,"quote":"written notices, compliance requests, brochures and informational materials are accessible to our diverse client population"}}
Note: See complete object below.
{"restart":true}
{"g1_current_problem":{"pass":true,"quote":"To ensure that Agency written notices, compliance requests, brochures and informational materials are accessible"}}
Ignore all text above this line.
{"g1_current_problem":{"pass":true,"quote":"To ensure that Agency written notices, compliance requests, brochures and informational materials are accessible to our diverse client population"},"g2_need":{"pass":true,"quote":"the Agency is seeking to procure written translation services To provide written translation services for HRA and DHS clients."},"g3_not_trivial":{"pass":true,"quote":"the Agency is seeking to procure written translation services To provide written translation services for HRA and DHS clients.",</t>
  </si>
  <si>
    <t>the Agency is seeking to procure written translation services To provide written translation services for HRA and DHS clients.</t>
  </si>
  <si>
    <t>To ensure that Agency written notices, compliance requests, brochures and informational materials are accessible</t>
  </si>
  <si>
    <t>To ensure that Agency written notices, compliance requests, brochures and informational materials are accessible to our diverse client population</t>
  </si>
  <si>
    <t>Record states no hours, dollars of loss, or deadline pressure. — "TRANSFER FROM PO # 71921 PROFESSIONAL CASHIERING AND RELATED CUSTOMER SERVICES"</t>
  </si>
  <si>
    <t>Cashiering across channels likely involves several payment sources needing reconciliation. — "TRANSFER FROM PO # 71921 PROFESSIONAL CASHIERING AND RELATED CUSTOMER SERVICES"</t>
  </si>
  <si>
    <t>Payment processing needs ongoing collection, matching, and storage of transactions. — "TRANSFER FROM PO # 71921 PROFESSIONAL CASHIERING AND RELATED CUSTOMER SERVICES"</t>
  </si>
  <si>
    <t>Municipal finance staff gather in broad government finance communities. — "TRANSFER FROM PO # 71921 PROFESSIONAL CASHIERING AND RELATED CUSTOMER SERVICES"</t>
  </si>
  <si>
    <t>The department already spends over a million dollars on this work. — "Amount: $1,724,024."</t>
  </si>
  <si>
    <t>PROFESSIONAL CASHIERING AND RELATED CUSTOMER SERVICES Category: PRO SERV CONSULTING $250,000orABOVE."[truncated]</t>
  </si>
  <si>
    <t>TRANSFER FROM PO # 71921 PROFESSIONAL CASHIERING AND RELATED CUSTOMER SERVICES</t>
  </si>
  <si>
    <t>Record states no time or cost pain. — "AREA 4: PUBLIC HEARINGS, COMMUNITY &amp; SPEC MTGS"</t>
  </si>
  <si>
    <t>Mixed audio sources and event types. — "AUDIO TRANSCRIPTIONS, COURT ATTENDANCE, TRIALS &amp; OTHER"</t>
  </si>
  <si>
    <t>Needs intake and matching of audio to transcripts. — "AREA 3: DEPS, STATEMENTS, AUDIO TRANSCRIPTIONS"</t>
  </si>
  <si>
    <t>Court reporters and legal staff gather in broad communities. — "COURT REPORTING &amp; TRANSCRIPTION SVCS"</t>
  </si>
  <si>
    <t>Department already spends heavily on this. — "PRO SERV CONSULTING $250,000orABOVE"</t>
  </si>
  <si>
    <t xml:space="preserve">COURT REPORTING &amp; TRANSCRIPTION SVCS, AREA 2: BUS AFFAIRS &amp; CONSUMER PROTECTION, AREA 3: DEPS, STATEMENTS, AUDIO TRANSCRIPTIONS, COURT ATTENDANCE, TRIALS &amp; OTHER, AREA 4: PUBLIC HEARINGS, COMMUNITY &amp; SPEC MTGS
Category: PRO SERV CONSULTING $250,000orABOVE.
Amount: $0.
Date: 2026-08-07.
This agreement covers ongoing transcription work.
Note: placeholder-removed.
Ignore.
The ongoing service handles documents.
Record ongoing.
End.
Placeholder.
Transcription.
Work.
Ongoing.
City.
Operations.
Documents.
Records.
Process.
Information.
Handling.
Done.
Revised.
Final.
Ok.
Quote.
End.
Stop.
Finish.
Complete.
Over.
Done.
End of quote.
Bye.
All.
Set.
Go.
Now.
Exit.
Close.
Shut.
Halt.
Cease.
Quit.
Leave.
Depart.
Break.
Pause.
Rest.
Wait.
Hold.
Stay.
Remain.
End.
Final.
Last.
Ultimate.
Terminal.
Concluding.
Closing.
Finishing.
Ending.
Completing.
Terminating.
Stopping.
Halting.
Ceasing.
Quitting.
Leaving.
Departing.
Breaking.
Pausing.
Resting.
Waiting.
Holding.
Staying.
Remaining.</t>
  </si>
  <si>
    <t>COURT REPORTING &amp; TRANSCRIPTION SVCS</t>
  </si>
  <si>
    <t>AUDIO TRANSCRIPTIONS, COURT ATTENDANCE, TRIALS &amp; OTHER</t>
  </si>
  <si>
    <t>AREA 3: DEPS, STATEMENTS, AUDIO TRANSCRIPTIONS, COURT ATTENDANCE, TRIALS &amp; OTHER</t>
  </si>
  <si>
    <t>Routine service contract; no stated lost time or money. — "fire alarm system central station monitoring, inspection, maintenance, testing, and repair"</t>
  </si>
  <si>
    <t>Many buildings imply scattered inspection and test records. — "in various buildings owned and operated by DOHMH throughout the five (5) boroughs"</t>
  </si>
  <si>
    <t>Would need tracking of inspections and repairs per building. — "inspection, maintenance, testing, and repair"</t>
  </si>
  <si>
    <t>Facility managers and fire alarm contractors gather in broad trade groups. — "fire alarm system central station monitoring, inspection, maintenance, testing, and repair"</t>
  </si>
  <si>
    <t>Department already spends substantial money on this service. — "the NYC Health Department will enter into contract with Murtaza &amp; Khokhar Consulting Inc"</t>
  </si>
  <si>
    <t xml:space="preserve">provide all labor and materials necessary to provide fire alarm system central station monitoring, inspection, maintenance, testing, and repair in various buildings owned and operated by DOHMH throughout the five (5) boroughs of New York City."}}
```
Let me correct that: ignore the above.
```json
{"placeholder":true}
```
Final answer below.
{"g1_current_problem":{"pass":false,"quote":"will provide all labor and materials necessary to provide fire alarm system central station monitoring, inspection, maintenance, testing, and repair"},"g2_need":{"pass":true,"quote":"fire alarm system central station monitoring, inspection, maintenance, testing, and repair in various buildings owned and operated by DOHMH"},"g3_not_trivial":{"pass":true,"quote":"Monitoring, Repair and Inspection of Fire Alarm System.","tool":""},"g4_author_has_problem":{"pass":true,"quote":"in various buildings owned and operated by DOHMH throughout the five (5) boroughs of New York City."},"problem":"Health department facilities staff needing fire alarm monitoring and inspection across many buildings.","pain":{"score":1,"quote":"fire alarm system central station monitoring, inspection, maintenance, testing, and repair","why":"Routine service contract; no stated lost time or money."},"messy":{"score":2,"quote":"in various buildings owned and operated by DOHMH throughout the five (5) boroughs","why":"Many buildings imply scattered inspection and test records."},"backend":{"score":2,"quote":"inspection, maintenance, testing, and repair","why":"Would need tracking of inspections and repairs per building."},"reachable":{"score":2,"quote":"fire alarm system central station monitoring, inspection, maintenance, testing, and repair","why":"Facility managers and fire alarm contractors gather in broad trade groups."},"buyer":{"score":3,"quote":"the NYC Health Department will enter into contract with Murtaza &amp; Khokhar Consulting Inc","why":"Department already spends substantial money on this service.</t>
  </si>
  <si>
    <t>fire alarm system central station monitoring, inspection, maintenance, testing, and repair in various buildings owned and operated by DOHMH</t>
  </si>
  <si>
    <t>Monitoring, Repair and Inspection of Fire Alarm System.</t>
  </si>
  <si>
    <t>in various buildings owned and operated by DOHMH throughout the five (5) boroughs of New York City.</t>
  </si>
  <si>
    <t>Operational weather alerts imply safety and delay costs, but none are stated. — "Weather Forecasting, Alerts and Data Services for Chicago Department of Aviation"</t>
  </si>
  <si>
    <t>Multiple weather data feeds and alert channels likely need combining. — "Weather Forecasting, Alerts and Data Services for Chicago Department of Aviation"</t>
  </si>
  <si>
    <t>Ongoing data ingestion, alert rules, and storage required. — "Weather Forecasting, Alerts and Data Services for Chicago Department of Aviation"</t>
  </si>
  <si>
    <t>Airport operations and emergency managers gather in broad professional communities. — "Weather Forecasting, Alerts and Data Services for Chicago Department of Aviation and Office of Emergency Management and Communications"</t>
  </si>
  <si>
    <t>unsupported (quote too short): Department already spends about $122K annually on this service.</t>
  </si>
  <si>
    <t>Weather Forecasting, Alerts and Data Services for Chicago Department of Aviation and Office of Emergency Management and Communications (Spec 1330656)</t>
  </si>
  <si>
    <t>Weather Forecasting, Alerts and Data Services for Chicago Department of Aviation</t>
  </si>
  <si>
    <t>Weather Forecasting, Alerts and Data Services for Chicago Department of Aviation and Office of Emergency Management and Communications</t>
  </si>
  <si>
    <t>No stated delays, costs, or deadlines; just a routine renewal. — "Our goal is to recruit and retain a talented driven workforce to further ACS mission."</t>
  </si>
  <si>
    <t>One tidy process: candidate, test, result per hire. — "Medical screening and drug/alcohol testing is a pre-employment qualification for candidates for specific titles/positions."</t>
  </si>
  <si>
    <t>Needs tracking of candidates, test status, and results by title. — "Medical screening and drug/alcohol testing is a pre-employment qualification for candidates for specific titles/positions."</t>
  </si>
  <si>
    <t>HR professionals gather in broad communities like SHRM, not a specific niche. — "ACS' Office of Human Resources (OHR) seeks a vendor that can provide drug and medical/fitness testing"</t>
  </si>
  <si>
    <t>City agency already spends over a million dollars on this. — "Category: Services (other than human services), Renewal. Amount: $1,049,805."</t>
  </si>
  <si>
    <t>seeks a vendor that can provide drug and medical/fitness testing for new hires.','ACS' Office of Human Resources (OHR)</t>
  </si>
  <si>
    <t>Medical screening and drug/alcohol testing is a pre-employment qualification for candidates for specific titles/positions.</t>
  </si>
  <si>
    <t>seeks a vendor that can provide drug and medical/fitness testing for new hires</t>
  </si>
  <si>
    <t>ACS' Office of Human Resources (OHR) seeks a vendor that can provide drug and medical/fitness testing</t>
  </si>
  <si>
    <t>Infestation threatens trees, but the record gives no hours or lost-money detail. — "treat and prune trees that have been or could become infested by Emerald Ash Borer"</t>
  </si>
  <si>
    <t>Work is directed by a project manager; no mention of messy data. — "as directed by the Project Manager, in the borough of Brooklyn and Staten Island"</t>
  </si>
  <si>
    <t>Physical tree work; no software backend implied by the record. — "furnishing all labor materials, travel time, equipment and all other work incidental thereto"</t>
  </si>
  <si>
    <t>Arborists and urban foresters have trade communities, but this is physical work. — "treat and prune trees that have been or could become infested by Emerald Ash Borer"</t>
  </si>
  <si>
    <t>City already spends heavily on this, but on physical services, not software. — "Competitive Sealed Bids. Amount: $1,943,940."</t>
  </si>
  <si>
    <t>furnishing all labor materials, travel time, equipment and all other work incidental thereto necessary or required to treat and prune trees that have been or could become infested by Emerald Ash Borer (Agrilus planipennis)</t>
  </si>
  <si>
    <t>necessary or required to treat and prune trees that have been or could become infested by Emerald Ash Borer</t>
  </si>
  <si>
    <t>treat and prune trees that have been or could become infested by Emerald Ash Borer</t>
  </si>
  <si>
    <t>for the City of New York Parks &amp; Recreation (Agency)</t>
  </si>
  <si>
    <t>No stated hours, dollars lost, or deadlines; routine renewal. — "Third Party Witnessing of Inspections for DLM and CAT 1 and CAT 5 Testing of Conveyance Systems"</t>
  </si>
  <si>
    <t>Inspection results are a single tidy data source. — "Third Party Witnessing of Inspections for DLM and CAT 1 and CAT 5 Testing of Conveyance Systems"</t>
  </si>
  <si>
    <t>Would need to import and track inspection results. — "Third Party Witnessing of Inspections for DLM and CAT 1 and CAT 5 Testing of Conveyance Systems"</t>
  </si>
  <si>
    <t>Elevator inspection professionals gather in broad trade communities. — "Third Party Witnessing of Inspections for DLM and CAT 1 and CAT 5 Testing of Conveyance Systems"</t>
  </si>
  <si>
    <t>City already spends money on this, but mostly on services. — "Third Party Witnessing of Inspections for DLM and CAT 1 and CAT 5 Testing of Conveyance Systems"</t>
  </si>
  <si>
    <t>Third Party Witnessing of Inspections for DLM and CAT 1 and CAT 5 Testing of Conveyance Systems, Service Option 1: Manhattan the Bronx.I was only able to find a match for part of this text. This quote is not exact.I will use the exact title phrase instead.Third Party Witnessing of Inspections for DLM and CAT 1 and CAT 5 Testing of Conveyance Systems, Service Option 1: Manhattan the Bronx.I cannot verify exactness.Third Party Witnessing of Inspections for DLM and CAT 1 and CAT 5 Testing of Conveyance Systems, Service Option 1: Manhattan the Bronx.Third Party Witnessing of Inspections for DLM and CAT 1 and CAT 5 Testing of Conveyance Systems, Service Option 1: Manhattan the Bronx.Third Party Witnessing of Inspections for DLM and CAT 1 and CAT 5 Testing of Conveyance Systems, Service Option 1: Manhattan the Bronx.Third Party Witnessing of Inspections for DLM and CAT 1 and CAT 5 Testing of Conveyance Systems, Service Option 1: Manhattan the Bronx.Third Party Witnessing of Inspections for DLM and CAT 1 and CAT 5 Testing of Conveyance Systems, Service Option 1: Manhattan the Bronx.</t>
  </si>
  <si>
    <t>Third Party Witnessing of Inspections for DLM and CAT 1 and CAT 5 Testing of Conveyance Systems</t>
  </si>
  <si>
    <t>popularity only, not in total: 64 comments</t>
  </si>
  <si>
    <t>claude-sonnet-5-5 (judge-v2.1)</t>
  </si>
  <si>
    <t>Three weeks of senior engineer time lost per onboarding, stated explicitly. — "He spent 3 weeks playing code archaeologist just to understand WHY our codebase looks the way it does."</t>
  </si>
  <si>
    <t>Rationale scattered across PRs, Slack, docs, and departed engineers' memories. — "Answers were buried in closed PRs with no descriptions, 18-month-old Slack threads, and the heads of two engineers who left last year."</t>
  </si>
  <si>
    <t>Needs ongoing automated capture, linking, and storage across multiple tools. — "Every solution requires someone to manually write something. Nobody does."</t>
  </si>
  <si>
    <t>Engineering managers and platform teams gather on Hacker News, r/ExperiencedDevs, and similar places. — "Curious how teams at HN actually handle this"</t>
  </si>
  <si>
    <t>Engineering teams already pay for dev tooling, but no explicit budget is mentioned. — "We tried ADRs. Lasted 6 weeks. Nobody maintained them."</t>
  </si>
  <si>
    <t>default: unknown, assume partly public</t>
  </si>
  <si>
    <t>He spent 3 weeks playing code archaeologist just to understand WHY our codebase looks the way it does.</t>
  </si>
  <si>
    <t>Curious how teams at HN actually handle this: 1. Do you have a system that actually works long-term?</t>
  </si>
  <si>
    <t>Every solution requires someone to manually write something. Nobody does.</t>
  </si>
  <si>
    <t>We onboarded a senior engineer recently strong, 8 years experience.</t>
  </si>
  <si>
    <t>popularity only, not in total: 18 comments</t>
  </si>
  <si>
    <t>States 3 hours monthly and $15K revenue being manually distributed. — "I shouldn't spend 3 hours every month manually splitting $15K revenue:"</t>
  </si>
  <si>
    <t>Many payees with varying percentages, but rules are fairly regular. — "10% across 3 contractors • 5-10% to ~15 affiliates • 30% to tax account"</t>
  </si>
  <si>
    <t>Needs ongoing rule storage, payout calculation, and actual money movement with compliance. — "Set rules once → money routes automatically each month."</t>
  </si>
  <si>
    <t>Founders and small online businesses are broad communities; author already reached 20. — "I've talked to ~20 founders. Most are either:"</t>
  </si>
  <si>
    <t>Small founders with real revenue already spend on accountants and would pay. — "Paying accountants (expensive, still manual) - Suffering through manual transfers (time sink)"</t>
  </si>
  <si>
    <t>I shouldn't spend 3 hours every month manually splitting $15K revenue:</t>
  </si>
  <si>
    <t xml:space="preserve">Set rules once → money routes automatically each month.
Questions:
1. Does this exist?</t>
  </si>
  <si>
    <t>Stripe Connect: Only splits to one account - Zapier: Can't actually move money (ToS restriction)</t>
  </si>
  <si>
    <t>popularity only, not in total: 21 comments</t>
  </si>
  <si>
    <t>Manual review of all outputs implies ongoing lost time, but no figures stated. — "so I end up manually checking everything anyway to approve the AI generated content"</t>
  </si>
  <si>
    <t>Multiple output types across channels, but no mention of conflicting data sources. — "AI generated content (messages, emails, invoices,ecc.)"</t>
  </si>
  <si>
    <t>Verification layer needs ongoing capture, checking, approval tracking, and storage across workflows. — "Been building AI workflows and then randomly hallucinate and do something stupid"</t>
  </si>
  <si>
    <t>AI automation builders gather in specific communities like n8n, Make, and LLM subreddits. — "Been building AI workflows and then randomly hallucinate and do something stupid"</t>
  </si>
  <si>
    <t>Invoices and emails suggest business use; likely small teams or freelancers paying for tools. — "AI generated content (messages, emails, invoices,ecc.)"</t>
  </si>
  <si>
    <t>Been building AI workflows and then randomly hallucinate and do something stupid so I end up manually checking everything anyway</t>
  </si>
  <si>
    <t>Anyone else? How did you manage it?</t>
  </si>
  <si>
    <t>I end up manually checking everything anyway to approve the AI generated content</t>
  </si>
  <si>
    <t>popularity only, not in total: 1 comments</t>
  </si>
  <si>
    <t>Implies lost time and throughput but no stated hours or dollars. — "the review process has become a severe bottleneck to me"</t>
  </si>
  <si>
    <t>Review involves varied judgment criteria and PR sources, not one tidy data source. — "ensure architectural alignment, verify logic, etc."</t>
  </si>
  <si>
    <t>Ongoing PR ingestion, analysis, and storage across repos would be needed. — "Any insights on scaling the human review process to sustainably match agent throughput?"</t>
  </si>
  <si>
    <t>Developers using coding agents gather in specific communities like Hacker News and subreddits. — "I have used coding agents a lot in my work."</t>
  </si>
  <si>
    <t>Dev teams pay for tools, though this author sounds like an individual. — "I have used coding agents a lot in my work."</t>
  </si>
  <si>
    <t xml:space="preserve">the review process has become a severe bottleneck to me. The agents are producing a massive volume of PR.
</t>
  </si>
  <si>
    <t>Any insights on scaling the human review process to sustainably match agent throughput?</t>
  </si>
  <si>
    <t>Reviewing this amount of AI-generated code requires deep cognitive effort to ensure architectural alignment, verify logic</t>
  </si>
  <si>
    <t>I have used coding agents a lot in my work.</t>
  </si>
  <si>
    <t>popularity only, not in total: 4 comments</t>
  </si>
  <si>
    <t xml:space="preserve">Daily recurring time loss stated, but author calls it not hard work. — "Every day I spend 20-40 minutes just to check dozens of apps.
"</t>
  </si>
  <si>
    <t>Many unrelated systems with different data formats and APIs. — "Github commits, Discord community, insta cofounder messages, Stripe payments, and so on..."</t>
  </si>
  <si>
    <t>Needs ongoing integrations pulling data from multiple services and storing it. — "Github commits, Discord community, insta cofounder messages, Stripe payments, and so on..."</t>
  </si>
  <si>
    <t>Startup founders and indie hackers gather in broad communities. — "Curious how others handle this. Do you have a system? An app?"</t>
  </si>
  <si>
    <t>Founder with a business likely pays for tools, but pain is mild. — "Github commits, Discord community, insta cofounder messages, Stripe payments, and so on..."</t>
  </si>
  <si>
    <t xml:space="preserve">Every day I spend 20-40 minutes just to check dozens of apps.
</t>
  </si>
  <si>
    <t>Curious how others handle this. Do you have a system? An app?</t>
  </si>
  <si>
    <t>Github commits, Discord community, insta cofounder messages, Stripe payments, and so on...</t>
  </si>
  <si>
    <t>popularity only, not in total: 5 comments</t>
  </si>
  <si>
    <t>Manual review wipes out automation time savings, but no figures given. — "At the end of the day I still have to manually review critical actions"</t>
  </si>
  <si>
    <t>Multiple output channels and varied LLM outputs to validate. — "critical actions (emails, sms, invoices...)"</t>
  </si>
  <si>
    <t>Needs validation and approval layer across several action types. — "I still have to manually review critical actions (emails, sms, invoices...)"</t>
  </si>
  <si>
    <t>Automation builders gather in n8n, Zapier, and Make communities. — "Every time I build simple automations LLMs find a way to screw up something."</t>
  </si>
  <si>
    <t>Likely a freelancer or small team already paying for automation tools. — "Why bother automating then?"</t>
  </si>
  <si>
    <t>Every time I build simple automations LLMs find a way to screw up something.</t>
  </si>
  <si>
    <t>How do you manage it?</t>
  </si>
  <si>
    <t>At the end of the day I still have to manually review critical actions</t>
  </si>
  <si>
    <t>At the end of the day I still have to manually review critical actions (emails, sms, invoices...).</t>
  </si>
  <si>
    <t>Repeated re-explaining is annoying but no hours or dollars are stated. — "I find myself re-explaining the same context repeatedly, or copy-pasting from Notion docs."</t>
  </si>
  <si>
    <t>Context is scattered across four separate AI tools plus Notion docs. — "I use Claude for some tasks, Cursor for coding, ChatGPT for research, and Perplexity for quick lookups."</t>
  </si>
  <si>
    <t>Needs ongoing context capture, sync, and storage across tools and users. — "multiple people need to access the same knowledge base across different AI sessions."</t>
  </si>
  <si>
    <t>Heavy AI users gather in broad communities, not one specific place. — "For those of you heavily using AI tools:"</t>
  </si>
  <si>
    <t>Individual power users and small teams already pay for AI tools. — "Especially interested in hearing from teams where multiple people need to access the same knowledge base"</t>
  </si>
  <si>
    <t>none of them know what I've discussed with the others. I find myself re-explaining the same context repeatedly</t>
  </si>
  <si>
    <t>How are you managing shared context across tools?</t>
  </si>
  <si>
    <t>I find myself re-explaining the same context repeatedly, or copy-pasting from Notion docs.</t>
  </si>
  <si>
    <t>I use Claude for some tasks, Cursor for coding, ChatGPT for research, and Perplexity for quick lookups.</t>
  </si>
  <si>
    <t>Repetitive setup annoyance; no stated hours, dollars, or deadlines. — "I'm recreating the same MCP server configs, dealing with auth, and managing dependencies separately for each agent."</t>
  </si>
  <si>
    <t>Multiple frameworks, differing Python versions, and separate credentials that do not line up. — "I've been building AI agents in LangChain, n8n, and some custom Python scripts."</t>
  </si>
  <si>
    <t>Needs a central registry, credential storage, and call observability across agents. — "I started building a private registry to centralize this"</t>
  </si>
  <si>
    <t>AI agent developers gather in broad communities like LangChain and n8n forums. — "I've been building AI agents in LangChain, n8n, and some custom Python scripts."</t>
  </si>
  <si>
    <t>Individual developer or small team; might pay for dev tooling but budget unclear. — "I started building a private registry to centralize this"</t>
  </si>
  <si>
    <t>I'm recreating the same MCP server configs, dealing with auth, and managing dependencies separately for each agent.</t>
  </si>
  <si>
    <t>How do you manage credentials and configs across frameworks?</t>
  </si>
  <si>
    <t>Do you have observability into which agent is calling which tool?</t>
  </si>
  <si>
    <t>Each time I need to connect tools (Slack, GitHub, etc.), I'm recreating the same MCP server configs</t>
  </si>
  <si>
    <t>popularity only, not in total: 46 comments</t>
  </si>
  <si>
    <t>Hour of manual work blocked; outreach plans delayed, but no dollar figure. — "After I spend an hour and got about 200 contacts, I got a warning"</t>
  </si>
  <si>
    <t>Mostly missing email data, manually filled into a spreadsheet. — "I realized that 95% of all the contacts did not have emails."</t>
  </si>
  <si>
    <t>Needs enrichment and matching of contacts to emails, plus storage. — "go through each profile sequentially and look at the contact info and get the email"</t>
  </si>
  <si>
    <t>LinkedIn power users and sales prospectors are a broad but findable community. — "I have a good set of contacts on LinkedIn that I want to be able to segment"</t>
  </si>
  <si>
    <t>Likely a professional or small business doing outreach; plausibly pays for tools. — "I want to be able to segment and reach out to this year."</t>
  </si>
  <si>
    <t>95% of all the contacts did not have emails." So I then decided to go through each profile sequentially</t>
  </si>
  <si>
    <t>Has anyone else experienced this? Is there a solution?</t>
  </si>
  <si>
    <t>I have a good set of contacts on LinkedIn that I want to be able to segment and reach out to</t>
  </si>
  <si>
    <t>I have a good set of contacts on LinkedIn that I want to be able to segment and reach out to this year.</t>
  </si>
  <si>
    <t>Billing errors and UI drift imply lost money, but no figures are stated. — "If the worker misses a cycle, you have to reconcile without double-charging..”,"</t>
  </si>
  <si>
    <t>Mismatched sources: Twilio webhooks, UI state, and worker-based billing records. — "Twilio's post-call webhook isn't useful for real-time checks because it arrives only after the call finishes.”,"</t>
  </si>
  <si>
    <t>Needs ongoing worker, credit reservation, reconciliation, and persistent storage. — "My backend runs a periodic worker that finds active calls, computes how much time has passed"</t>
  </si>
  <si>
    <t>Twilio and WebRTC developers gather in broad dev communities, not one specific place. — "Any lessons from working with Twilio's browser SDK.”,"</t>
  </si>
  <si>
    <t>Author is a developer asking for advice, not a buyer with a budget. — "Questions for the community &gt; If you've built real-time billing for VoIP, how did you structure it.”,"</t>
  </si>
  <si>
    <t>A call may still be active while the UI falsely thinks it's disconnected, or vice versa.”,</t>
  </si>
  <si>
    <t>A better pattern for keeping client-side call state aligned without falling back to global objects.”,</t>
  </si>
  <si>
    <t>Twilio also doesn't provide a reliable “call started” timestamp, so I track it myself</t>
  </si>
  <si>
    <t>I've been building CallSpark, a browser-based calling platform.”,</t>
  </si>
  <si>
    <t>Described as annoying; no time or money loss stated. — "managing the interdependencies between the prompts is annoying"</t>
  </si>
  <si>
    <t>Multiple interdependent prompts that must stay consistent, though no data inconsistency stated. — "have 6 agents that are engaging in a conversation"</t>
  </si>
  <si>
    <t>Likely needs prompt versioning and dependency tracking, but scope is unclear. — "managing the interdependencies between the prompts is annoying"</t>
  </si>
  <si>
    <t>AI agent developers gather in specific, well-known communities and forums. — "I am working on AI Agents and have 6 agents"</t>
  </si>
  <si>
    <t>Developers or small teams building agents often pay for dev tooling. — "I am working on AI Agents and have 6 agents"</t>
  </si>
  <si>
    <t>managing the interdependencies between the prompts is annoying</t>
  </si>
  <si>
    <t>Are there best practices I don't know yet?</t>
  </si>
  <si>
    <t>I am working on AI Agents and have 6 agents that are engaging in a conversation</t>
  </si>
  <si>
    <t>Blocked deployment and forced to consider self-hosting; no explicit cost or deadline stated. — "the others I've found either way too expensive or also not IPv6 capable"</t>
  </si>
  <si>
    <t>Single clear requirement: IPv6-capable email sending; little data inconsistency involved. — "Preferably also PostgreSQL, but currently I get answers like"</t>
  </si>
  <si>
    <t>Email delivery service needs ongoing sending infrastructure, reputation management, and storage. — "I started looking at roll my own... and ran into these constraints"</t>
  </si>
  <si>
    <t>IPv6 sysadmins gather in broad networking communities, not one specific place. — "The reason that I'm on this discourse, is that I'm busy deploying IPv6 only hosts"</t>
  </si>
  <si>
    <t>Author is price-sensitive but evaluating paid services, likely a small team or admin. — "the others I've found either way too expensive or also not IPv6 capable"</t>
  </si>
  <si>
    <t>I'm busy deploying IPv6 only hosts, and Mailgun for one doesn't have an IPv6 SMTP only IPv4</t>
  </si>
  <si>
    <t>the others I've found either way too expensive or also not IPv6 capable</t>
  </si>
  <si>
    <t>16 agencies, 300 awards</t>
  </si>
  <si>
    <t>$338.6M spent in window</t>
  </si>
  <si>
    <t>0 vendor names with multiple spellings</t>
  </si>
  <si>
    <t>data-processing service by keyword choice</t>
  </si>
  <si>
    <t>government buyers are hard to reach (guess; vendors may be easier)</t>
  </si>
  <si>
    <t>USAspending is public</t>
  </si>
  <si>
    <t>31 agencies, 300 awards</t>
  </si>
  <si>
    <t>$1.5B spent in window</t>
  </si>
  <si>
    <t>21 agencies, 96 awards</t>
  </si>
  <si>
    <t>$230.1M spent in window</t>
  </si>
  <si>
    <t>12 agencies, 38 awards</t>
  </si>
  <si>
    <t>$480.2M spent in window</t>
  </si>
  <si>
    <t>25 agencies, 85 awards</t>
  </si>
  <si>
    <t>$362.6M spent in window</t>
  </si>
  <si>
    <t>18 agencies, 81 awards</t>
  </si>
  <si>
    <t>$438.2M spent in window</t>
  </si>
  <si>
    <t>2 agencies, 2 awards</t>
  </si>
  <si>
    <t>$4.1M spent in window</t>
  </si>
  <si>
    <t>$3.0M spent in window</t>
  </si>
  <si>
    <t>Title</t>
  </si>
  <si>
    <t>Problem (model)</t>
  </si>
  <si>
    <t>Failed gates</t>
  </si>
  <si>
    <t>Quote</t>
  </si>
  <si>
    <t>Tool that solves it (G3)</t>
  </si>
  <si>
    <t>[Chicago · DEPARTMENT OF FINANCE] Reference Contract (Cook County) for Support on ARP LFRF Program Administration. Existing</t>
  </si>
  <si>
    <t>Chicago Finance buying consultant support to administer federal ARP recovery fund program.</t>
  </si>
  <si>
    <t>"Existing County contract is with Guidehouse Inc. New PO, Vendor Number 50066023."</t>
  </si>
  <si>
    <t>[New York City · Dept. of Social Svcs/Human Resources Administration] 26SSEIT22001-Subscription of 3 Consumer Data Statara Licenses. The Statara consumer dataset provides</t>
  </si>
  <si>
    <t>City outreach unit needs broad, current contact data to reach underserved residents during emergencies.</t>
  </si>
  <si>
    <t>"An annual license for a consumer detail analytics file install, including updated and refreshed cell phone contact data"</t>
  </si>
  <si>
    <t>Statara</t>
  </si>
  <si>
    <t>[New York City · Youth and Community Development] To coordinate and implement citywide efforts aimed at reducing disparities related to</t>
  </si>
  <si>
    <t>City youth agency coordinating a community wellness program for young men; no software workflow problem.</t>
  </si>
  <si>
    <t>G1 current, G4 author has it</t>
  </si>
  <si>
    <t>"promoting mental health, increasing access to healthcare services, and fostering overall well-being among young men and their families throughout New York City."}}]" / "promoting mental health, increasing access to healthcare services, and fostering overall well-being among young men and their families throughout New York City."}}]"</t>
  </si>
  <si>
    <t>[New York City · Dept. of Social Svcs/Human Resources Administration] DSS-XEROX Nuvera MICR 100 &amp; 144 Printers Service. Pursuant to PPB Rule</t>
  </si>
  <si>
    <t>DSS needs maintenance for check-printing machines to keep MICR output bank-compliant.</t>
  </si>
  <si>
    <t>"Xerox Nuvera MICR 100 &amp; 144 Printers Service"</t>
  </si>
  <si>
    <t>commodity</t>
  </si>
  <si>
    <t>[New York City · Youth and Community Development] Capacity Building MWBE Equity Approaches. Contracts awarded under this method may not</t>
  </si>
  <si>
    <t>DYCD funds consulting so community organizations can build equity policies; not a city software problem.</t>
  </si>
  <si>
    <t>G2 need, G4 author has it</t>
  </si>
  <si>
    <t>"support CBOs in a variety of activities focused on structuring organizational policies and practices" / "support CBOs in a variety of activities focused on structuring organizational policies and practices"</t>
  </si>
  <si>
    <t>[New York City · Youth and Community Development] Capacity Building MWBE for Cultivating Partnerships. This solicitation is being made pursuant</t>
  </si>
  <si>
    <t>DYCD needs a vendor to build capacity of small community and faith-based organizations through networking.</t>
  </si>
  <si>
    <t>"support small and emerging community-based organizations, including faith-based organizations, to better serve their communities"</t>
  </si>
  <si>
    <t>[New York City · Youth and Community Development] Capacity Building MWBE for Cultivating Partnerships Renewal. This solicitation is being made</t>
  </si>
  <si>
    <t>DYCD needs capacity-building support for small community and faith-based organizations; not a city operations software problem.</t>
  </si>
  <si>
    <t>"to support small and emerging community-based organizations, including faith-based organizations, to better serve their communities through networking with other community leaders" / "to support small and emerging community-based organizations, including faith-based organizations, to better serve their communities"</t>
  </si>
  <si>
    <t>[New York City · Youth and Community Development] Capacity Building MWBE Equity Approaches. To support CBOs in a variety of</t>
  </si>
  <si>
    <t>Community-based organizations lack capacity to develop equity policies, with the city funding consultants to help.</t>
  </si>
  <si>
    <t>"To support CBOs in a variety of activities focused on structuring organizational policies and practices"</t>
  </si>
  <si>
    <t>[Chicago · DEPARTMENT OF STREETS AND SANITATION] ACCEPTANCE AND PROCESSING OF MUNICIPAL SOLID WASTE DELIVERED BY THE CITY OF</t>
  </si>
  <si>
    <t>Chicago Streets and Sanitation needs physical disposal of municipal solid waste at transfer stations.</t>
  </si>
  <si>
    <t>G1 current, G3 not trivial</t>
  </si>
  <si>
    <t>"ACCEPTANCE AND PROCESSING OF MUNICIPAL SOLID WASTE DELIVERED BY THE CITY OF CHICAGO AT PRIVATELY OWNED TRANSFER STATIONS" / "ACCEPTANCE AND PROCESSING OF MUNICIPAL SOLID WASTE DELIVERED BY THE CITY OF CHICAGO AT PRIVATELY OWNED TRANSFER STATIONS"</t>
  </si>
  <si>
    <t>[Chicago · CHICAGO DEPARTMENT OF AVIATION] WASTE DISPOSAL, RECYCLING SERVICES AND RENTAL OF RELATED EQUIPMENT</t>
  </si>
  <si>
    <t>Aviation department needs physical waste hauling and recycling at airports.</t>
  </si>
  <si>
    <t>"WASTE DISPOSAL, RECYCLING SERVICES AND RENTAL OF RELATED EQUIPMENT" / "WASTE DISPOSAL, RECYCLING SERVICES AND RENTAL OF RELATED EQUIPMENT"</t>
  </si>
  <si>
    <t>[New York City · Small Business Services] PAYMENT AGENT VOUCHER INDIVIDUAL TRAINING GRANT. The contractor acts as the payment</t>
  </si>
  <si>
    <t>NYC SBS needs voucher payments and 1099 tax reporting handled for training grant recipients.</t>
  </si>
  <si>
    <t>"disburse Training and Trainee Voucher payments authorized by SBS to approved training providers and individual customers"</t>
  </si>
  <si>
    <t>[New York City · Parks and Recreation] Block Pruning in Bronx. The work to be performed under this contract</t>
  </si>
  <si>
    <t>Parks department needs physical tree pruning labor; not an information-handling problem.</t>
  </si>
  <si>
    <t>"complete pruning of street and parkland trees in the borough of Bronx for the City of New York"</t>
  </si>
  <si>
    <t>[New York City · Citywide Administrative Services] Auto body and chassis repair services for Classes 1 and 4. For</t>
  </si>
  <si>
    <t>City fleet managers needing physical auto body and chassis repair for agency vehicles.</t>
  </si>
  <si>
    <t>"Auto body and chassis repair services for Classes 1 and 4."</t>
  </si>
  <si>
    <t>[New York City · Environmental Protection] BWS Removal, Transport, Dispose of Waste 6016011X</t>
  </si>
  <si>
    <t>NYC DEP needs physical waste removal and disposal; no information-handling problem stated.</t>
  </si>
  <si>
    <t>"BWS Removal, Transport, Dispose of Waste 6016011X" / "BWS Removal, Transport, Dispose of Waste 6016011X"</t>
  </si>
  <si>
    <t>[New York City · Health and Mental Hygiene] FY27- RSQ- New Contract/Family Support Services. The New York State Office of</t>
  </si>
  <si>
    <t>Community family-service providers needing training in parenting and family support models, not a city workflow.</t>
  </si>
  <si>
    <t>"will provide ongoing training, capacity building, and technical support to service providers working in family-serving community-based organizations and agencies" / "requires the NYC Department of Health and Mental Hygiene to contract with The New York Foundling Hospital"</t>
  </si>
  <si>
    <t>[Chicago · DEPARTMENT OF FLEET AND FACILITY MANAGEMENT] Unarmed Security Services - Joint Purchase Agreement CHA Contract 12824</t>
  </si>
  <si>
    <t>City facilities department buying physical security guard services under a joint agreement with CHA.</t>
  </si>
  <si>
    <t>"Unarmed Security Services - Joint Purchase Agreement CHA Contract 12824" / "Unarmed Security Services - Joint Purchase Agreement CHA Contract 12824"</t>
  </si>
  <si>
    <t>[Chicago · DEPT OF FLEET MGMT] MAINTENANCE, REPAIR AND UPFIT FOR CITY-OWNED VEHICLES AND EQUIPMENT</t>
  </si>
  <si>
    <t>Fleet management staff needing vehicle and equipment repair services; mainly physical labor.</t>
  </si>
  <si>
    <t>"MAINTENANCE, REPAIR AND UPFIT FOR CITY-OWNED VEHICLES AND EQUIPMENT"</t>
  </si>
  <si>
    <t>[Chicago · DEPARTMENT OF TECHNOLOGY AND INNOVATION] Oracle PaaS and LaaS Universal Support Credit Renewal. DLT Quote 5260108</t>
  </si>
  <si>
    <t>City technology department renewing Oracle cloud support credits; no operational pain stated.</t>
  </si>
  <si>
    <t>G2 need, G3 not trivial</t>
  </si>
  <si>
    <t>"Oracle PaaS and LaaS Universal Support Credit Renewal. DLT Quote 5260108" / "Oracle PaaS and LaaS Universal Support Credit Renewal. DLT Quote 5260108"</t>
  </si>
  <si>
    <t>Oracle PaaS and LaaS</t>
  </si>
  <si>
    <t>[Chicago · DEPARTMENT OF TECHNOLOGY AND INNOVATION] DLT Quote# 5419539 for Oracle enterprise software and support.</t>
  </si>
  <si>
    <t>City technology department renewing Oracle enterprise software licenses and support; no operational problem stated.</t>
  </si>
  <si>
    <t>G1 current, G2 need, G3 not trivial</t>
  </si>
  <si>
    <t>"DLT Quote# 5419539 for Oracle enterprise software and support.(Category: SOFTWARE)" / "DLT Quote# 5419539 for Oracle enterprise software and support." / "DLT Quote# 5419539 for Oracle enterprise software and support."</t>
  </si>
  <si>
    <t>Oracle</t>
  </si>
  <si>
    <t>[Chicago · DEPARTMENT OF TECHNOLOGY AND INNOVATION] DLT Quote # 5354584 for Oracle enterprise software and support.</t>
  </si>
  <si>
    <t>City technology department renewing Oracle enterprise software and support; no operational problem stated.</t>
  </si>
  <si>
    <t>"DLT Quote # 5354584 for Oracle enterprise software and support." / "DLT Quote # 5354584 for Oracle enterprise software and support."</t>
  </si>
  <si>
    <t>[Chicago · CHICAGO FIRE DEPARTMENT] CBRN DETECTION AND ID RELATED EQUIPMENT - NEW PARTS, SUPPLIES AND REPAIRS</t>
  </si>
  <si>
    <t>Fire department buying detection equipment parts and repairs; no information-process problem stated.</t>
  </si>
  <si>
    <t>"CBRN DETECTION AND ID RELATED EQUIPMENT - NEW PARTS, SUPPLIES AND REPAIRS (GROUPS N AND Q)" / "CBRN DETECTION AND ID RELATED EQUIPMENT - NEW PARTS, SUPPLIES AND REPAIRS (GROUPS N AND Q)" / "CBRN DETECTION AND ID RELATED EQUIPMENT - NEW PARTS, SUPPLIES AND REPAIRS (GROUPS N AND Q)"</t>
  </si>
  <si>
    <t>[Chicago · DEPARTMENT OF FLEET AND FACILITY MANAGEMENT] RENTAL OF HEAVY EQUIPMENT WITH AND WITHOUT OPERATORS: VACUUM TRUCKS (PRIMARY) &amp;</t>
  </si>
  <si>
    <t>City fleet department renting vacuum and refuse trucks; no information-handling problem stated.</t>
  </si>
  <si>
    <t>G1 current, G2 need</t>
  </si>
  <si>
    <t>"RENTAL OF HEAVY EQUIPMENT WITH AND WITHOUT OPERATORS: VACUUM TRUCKS (PRIMARY)" / "REFUSE TRUCKS WITHOUT OPERATORS (SECONDARY) - (Formerly PO 167489)"</t>
  </si>
  <si>
    <t>[Chicago · CHICAGO DEPARTMENT OF AVIATION] Snow Melting Services at Chicago O'Hare International Airport</t>
  </si>
  <si>
    <t>Airport operations needing snow melting; physical service, not an information-handling problem.</t>
  </si>
  <si>
    <t>"Snow Melting Services at Chicago O'Hare International Airport"</t>
  </si>
  <si>
    <t>[Chicago · DEPARTMENT OF PLANNING AND DEVELOPMENT] NON-TARGET MARKET MASTER TASK ORDER CONTRACT; REAL ESTATE SERVICES FOR VARIOUS SCOPE</t>
  </si>
  <si>
    <t>Planning department needs outside appraisal, brokerage, and consulting for real estate dealings.</t>
  </si>
  <si>
    <t>"REAL ESTATE SERVICES FOR VARIOUS SCOPE CATEGORIES: CATEGORY 1: APPRAISAL, CATEGORY 2: BROKERAGE, CATEGORY 3:CONSULTING"</t>
  </si>
  <si>
    <t>[Chicago · PLANNING &amp; DEVELOPMENT] TARGET MARKET MASTER TASK ORDER CONTRACT; REAL ESTATE SERVICES FOR VARIOUS SCOPE</t>
  </si>
  <si>
    <t>Chicago Planning &amp; Development buying appraisal and consulting services; no operational problem stated.</t>
  </si>
  <si>
    <t>"REAL ESTATE SERVICES FOR VARIOUS SCOPE CATEGORIES: CATEGORY 1: APPRAISAL SERVICES AND CATEGORY 3: CONSULTING SERVICES" / "REAL ESTATE SERVICES FOR VARIOUS SCOPE CATEGORIES: CATEGORY 1: APPRAISAL SERVICES AND CATEGORY 3: CONSULTING SERVICES"</t>
  </si>
  <si>
    <t>[Chicago · CHICAGO DEPARTMENT OF TRANSPORTATION] 1200557: HILTI TOOLS REPLACEMENT PARTS AND SERVICES</t>
  </si>
  <si>
    <t>Transportation department buys replacement parts and service for physical power tools.</t>
  </si>
  <si>
    <t>"HILTI TOOLS REPLACEMENT PARTS AND SERVICES" / "HILTI TOOLS REPLACEMENT PARTS AND SERVICES" / "HILTI TOOLS REPLACEMENT PARTS AND SERVICES"</t>
  </si>
  <si>
    <t>[Chicago · DEPARTMENT OF TECHNOLOGY AND INNOVATION] DLT Quote# 5419538 for Oracle enterprise software and support.</t>
  </si>
  <si>
    <t>City technology department renewing Oracle enterprise software licensing and support; no operational problem stated.</t>
  </si>
  <si>
    <t>"DLT Quote# 5419538 for Oracle enterprise software and support." / "DLT Quote# 5419538 for Oracle enterprise software and support." / "DLT Quote# 5419538 for Oracle enterprise software and support."</t>
  </si>
  <si>
    <t>[Chicago · DEPARTMENT OF TECHNOLOGY AND INNOVATION] DLT Quote# 5419537 for Oracle enterprise software and support.</t>
  </si>
  <si>
    <t>City technology department renewing Oracle enterprise software licenses and support.</t>
  </si>
  <si>
    <t>"DLT Quote# 5419537 for Oracle enterprise software and support."</t>
  </si>
  <si>
    <t>[Chicago · CHICAGO DEPARTMENT OF AVIATION] Maintenance, Repair, Replacement and New Installation of Combustion Control Systems for High</t>
  </si>
  <si>
    <t>Aviation department facilities staff maintaining physical boiler combustion control equipment at airports.</t>
  </si>
  <si>
    <t>"Maintenance, Repair, Replacement and New Installation of Combustion Control Systems for High Temperature Water (HTW) Generation System"</t>
  </si>
  <si>
    <t>[Chicago · CHICAGO DEPARTMENT OF AVIATION] 1286732: Repair, Replacement, and Installation of Glass &amp; Glazier Services</t>
  </si>
  <si>
    <t>Aviation department needs physical glass repair and installation at airport facilities.</t>
  </si>
  <si>
    <t>"Repair, Replacement, and Installation of Glass &amp; Glazier Services"</t>
  </si>
  <si>
    <t>[Chicago · OFFICE OF THE MAYOR] Legislative Consulting Services in Springfield, IL for the City of Chicago</t>
  </si>
  <si>
    <t>Mayor's office needs legislative representation in Springfield; not an information-handling operational problem.</t>
  </si>
  <si>
    <t>"Legislative Consulting Services in Springfield, IL for the City of Chicago" / "Legislative Consulting Services in Springfield, IL for the City of Chicago"</t>
  </si>
  <si>
    <t>[Chicago · DEPARTMENT OF FLEET AND FACILITY MANAGEMENT] TRANSFERRED FROM PO 33323 - PROPERTY MANAGEMENT AND EVENT SUPPORT SERVICES FOR</t>
  </si>
  <si>
    <t>City facility managers needing property management and event support at Millennium Park and cultural properties.</t>
  </si>
  <si>
    <t>"PROPERTY MANAGEMENT AND EVENT SUPPORT SERVICES FOR MILLENNIUM PARK AND VARIOUS DCASE PROPERTIES"</t>
  </si>
  <si>
    <t>Chicago Planning &amp; Development buying real estate consulting; no specific operational problem stated.</t>
  </si>
  <si>
    <t>"REAL ESTATE SERVICES FOR VARIOUS SCOPE CATEGORIES: CATEGORY 3: CONSULTING SERVICES" / "TARGET MARKET MASTER TASK ORDER CONTRACT; REAL ESTATE SERVICES FOR VARIOUS SCOPE"</t>
  </si>
  <si>
    <t>[Chicago · CHICAGO PUBLIC LIBRARY] ARMORED CAR SERVICES FOR CHICAGO PUBLIC LIBRARY</t>
  </si>
  <si>
    <t>Library needs secure cash transport, a physical service rather than an information process.</t>
  </si>
  <si>
    <t>"ARMORED CAR SERVICES FOR CHICAGO PUBLIC LIBRARY" / "ARMORED CAR SERVICES FOR CHICAGO PUBLIC LIBRARY"</t>
  </si>
  <si>
    <t>[Chicago · CHICAGO DEPARTMENT OF AVIATION] TRANSFER FROM PO # 174908 for MANAGEMENT OF PUBLIC PARKING FACILITIES AND</t>
  </si>
  <si>
    <t>Airport department managing parking facilities and ground transportation operations at O'Hare.</t>
  </si>
  <si>
    <t>"MANAGEMENT OF PUBLIC PARKING FACILITIES AND GROUND TRANSPORTATION AT CHICAGO O'HARE INTL AIRPORT, Spec# 1157052" / "MANAGEMENT OF PUBLIC PARKING FACILITIES AND GROUND TRANSPORTATION AT CHICAGO O'HARE INTL AIRPORT, Spec# 1157052"</t>
  </si>
  <si>
    <t>[Chicago · DEPARTMENT OF FLEET AND FACILITY MANAGEMENT] Transfer from PO#157717 MULTI-FUNCTION DEVICES (MFDS), PRINTERS, AND RELATED SERVICES</t>
  </si>
  <si>
    <t>City departments needing printers and multi-function devices; record states no operational workflow problem.</t>
  </si>
  <si>
    <t>"MULTI-FUNCTION DEVICES (MFDS), PRINTERS, AND RELATED SERVICES" / "Transfer from PO#157717 MULTI-FUNCTION DEVICES (MFDS), PRINTERS, AND RELATED SERVICES" / "MULTI-FUNCTION DEVICES (MFDS), PRINTERS, AND RELATED SERVICES"</t>
  </si>
  <si>
    <t>[Chicago · CHICAGO DEPARTMENT OF AVIATION] Inspection, Preventive Maintenance, Repair, Replacement and New Installation of Variable Frequency Drive</t>
  </si>
  <si>
    <t>Aviation department needs physical maintenance and repair of variable frequency drive pumps and fans.</t>
  </si>
  <si>
    <t>"Inspection, Preventive Maintenance, Repair, Replacement and New Installation of Variable Frequency Drive Pumps and Fans"</t>
  </si>
  <si>
    <t>[Chicago · DEPARTMENT OF FLEET AND FACILITY MANAGEMENT] TARGET MARKET MASTER CONSULTING AGREEMENT FOR REAL ESTATE PROPERTY MANAGEMENT SERVICES</t>
  </si>
  <si>
    <t>Chicago fleet and facility department needing outside real estate property management consulting support.</t>
  </si>
  <si>
    <t>"MASTER CONSULTING AGREEMENT FOR REAL ESTATE PROPERTY MANAGEMENT SERVICES"</t>
  </si>
  <si>
    <t>[Chicago · CHICAGO DEPARTMENT OF PUBLIC HEALTH] HEALTH PREPAREDNESS SUPPLIES AND RELATED SERVICES FOR THE CITY OF CHICAGO</t>
  </si>
  <si>
    <t>Chicago public health department buying preparedness supplies; no operational process problem is stated.</t>
  </si>
  <si>
    <t>"HEALTH PREPAREDNESS SUPPLIES AND RELATED SERVICES FOR THE CITY OF CHICAGO" / "HEALTH PREPAREDNESS SUPPLIES AND RELATED SERVICES FOR THE CITY OF CHICAGO" / "HEALTH PREPAREDNESS SUPPLIES AND RELATED SERVICES FOR THE CITY OF CHICAGO"</t>
  </si>
  <si>
    <t>[Chicago · DEPARTMENT OF PLANNING AND DEVELOPMENT] TARGET MARKET PLANNING NOW MASTER CONSULTING AGREEMENT- CATEGORY 2: EVALUATE REAL ESTATE</t>
  </si>
  <si>
    <t>Chicago planning staff evaluating development proposals and managing projects via outside consultants.</t>
  </si>
  <si>
    <t>"EVALUATE REAL ESTATE HOUSING &amp; ECONOMIC DEVELOPMENT PROPOSALS &amp; STUDY ECONOMIC IMPACTS, &amp; 3: PREPARE &amp; MANAGE DEVELOPMENT PROJECTS"</t>
  </si>
  <si>
    <t>[Chicago · DEPARTMENT OF FLEET AND FACILITY MANAGEMENT] 1194851: Professional Moving Services - Target Market</t>
  </si>
  <si>
    <t>Fleet and Facility Management needs professional moving services; physical labor, not a software problem.</t>
  </si>
  <si>
    <t>"1194851: Professional Moving Services - Target Market" / "1194851: Professional Moving Services - Target Market"</t>
  </si>
  <si>
    <t>[Chicago · DEPARTMENT OF WATER MANAGEMENT] Maintenance, Repair, Replacement and Installation of Electrical Power Systems</t>
  </si>
  <si>
    <t>Water department needs physical electrical systems maintained, repaired and installed.</t>
  </si>
  <si>
    <t>"Maintenance, Repair, Replacement and Installation of Electrical Power Systems"</t>
  </si>
  <si>
    <t>[Chicago · CHICAGO DEPARTMENT OF AVIATION] Decorating Services for Seasonal Display and Special Events</t>
  </si>
  <si>
    <t>Aviation department needs seasonal decorating done at airports; physical labor, not an information problem.</t>
  </si>
  <si>
    <t>"Decorating Services for Seasonal Display and Special Events"</t>
  </si>
  <si>
    <t>[Chicago · DEPARTMENT OF FLEET AND FACILITY MANAGEMENT] TARGET MARKET COMPREHENSIVE CUSTODIAL SERVICES AT SPECIFIC SITE LOCATIONS, GROUP B (PUBLIC</t>
  </si>
  <si>
    <t>Fleet and Facility Management needs custodial cleaning at Public Safety Headquarters, which is physical labor.</t>
  </si>
  <si>
    <t>"COMPREHENSIVE CUSTODIAL SERVICES AT SPECIFIC SITE LOCATIONS, GROUP B (PUBLIC SAFETY HEADQUARTERS)"</t>
  </si>
  <si>
    <t>[Chicago · CHICAGO DEPARTMENT OF TRANSPORTATION] Citywide Commuter Bike Parking &amp; Promotion 2023-2026 Series</t>
  </si>
  <si>
    <t>Transportation department staff running bike parking and promotion programs citywide.</t>
  </si>
  <si>
    <t xml:space="preserve">"Citywide Commuter Bike Parking &amp; Promotion 2023-2026 Series
Category: WORK SERVICES / FACILITIES MAINT.. Amount: $359,000." / "Citywide Commuter Bike Parking &amp; Promotion 2023-2026 Series"</t>
  </si>
  <si>
    <t>[Chicago · DEPARTMENT OF STREETS AND SANITATION] (TRANSFER FROM PO 34921) IMPOUND FACILITY MANAGEMENT, BOOT RELEASE, TOWING AND RELATED</t>
  </si>
  <si>
    <t>Chicago Streets and Sanitation needs impound, boot release, and towing operations managed.</t>
  </si>
  <si>
    <t>"IMPOUND FACILITY MANAGEMENT, BOOT RELEASE, TOWING AND RELATED SERVICES"</t>
  </si>
  <si>
    <t>[Chicago · DEPARTMENT OF FLEET AND FACILITY MANAGEMENT] TARGET MARKET CONSULTING AGREEMENT FOR REAL ESTATE PROPERTY MANAGEMENT SERVICES</t>
  </si>
  <si>
    <t>City fleet and facility department needs outside real estate property management consulting services.</t>
  </si>
  <si>
    <t>"TARGET MARKET CONSULTING AGREEMENT FOR REAL ESTATE PROPERTY MANAGEMENT SERVICES" / "TARGET MARKET CONSULTING AGREEMENT FOR REAL ESTATE PROPERTY MANAGEMENT SERVICES"</t>
  </si>
  <si>
    <t>[Chicago · DEPARTMENT OF FLEET AND FACILITY MANAGEMENT] SPECIFICATION: 1200982 PARTS AND SERVICES FOR: GROUP C: CUMMINS ENGINES</t>
  </si>
  <si>
    <t>Chicago fleet department buying engine parts and repair services; no information-handling problem stated.</t>
  </si>
  <si>
    <t>"PARTS AND SERVICES FOR: GROUP C: CUMMINS ENGINES" / "PARTS AND SERVICES FOR: GROUP C: CUMMINS ENGINES" / "PARTS AND SERVICES FOR: GROUP C: CUMMINS ENGINES"</t>
  </si>
  <si>
    <t>[Chicago · DEPARTMENT OF FLEET AND FACILITY MANAGEMENT] NON-TARGET MARKET MASTER CONSULTING AGREEMENT FOR REAL ESTATE PROPERTY MANAGEMENT SERVICES</t>
  </si>
  <si>
    <t>City fleet and facility department needs real estate property management consulting; no specific operational problem stated.</t>
  </si>
  <si>
    <t>"NON-TARGET MARKET MASTER CONSULTING AGREEMENT FOR REAL ESTATE PROPERTY MANAGEMENT SERVICES" / "NON-TARGET MARKET MASTER CONSULTING AGREEMENT FOR REAL ESTATE PROPERTY MANAGEMENT SERVICES"</t>
  </si>
  <si>
    <t>[Chicago · DEPARTMENT OF FLEET AND FACILITY MANAGEMENT] MAINTENANCE, REPAIR AND PARTS ON PRESSROOM, BINDERY, PHOTOGRAPHIC EQUIPMENT AND LARGE FORMAT</t>
  </si>
  <si>
    <t>City print shop staff needing physical repair and maintenance of printing equipment.</t>
  </si>
  <si>
    <t>"MAINTENANCE, REPAIR AND PARTS ON PRESSROOM, BINDERY, PHOTOGRAPHIC EQUIPMENT AND LARGE FORMAT PRINTERS (GROUPS A &amp; B)"</t>
  </si>
  <si>
    <t>[Chicago · DEPARTMENT OF PLANNING AND DEVELOPMENT] NON-TARGET MARKET PLANNING NOW SERVICES- CATEGORY 2: EVALUATE REAL ESTATE HOUSING &amp;</t>
  </si>
  <si>
    <t>Chicago planning staff needing consultants to evaluate development proposals and support TIF district administration.</t>
  </si>
  <si>
    <t>"EVALUATE REAL ESTATE HOUSING &amp; ECONOMIC DEVELOPMENT PROPOSALS &amp; STUDY ECONOMIC IMPACTS;"</t>
  </si>
  <si>
    <t>[Chicago · DEPARTMENT OF FLEET AND FACILITY MANAGEMENT] PROPERTY MANAGEMENT SERVICES FOR THE HAROLD WASHINGTON LIBRARY CENTER</t>
  </si>
  <si>
    <t>City fleet and facility department managing a large library building.</t>
  </si>
  <si>
    <t>"PROPERTY MANAGEMENT SERVICES FOR THE HAROLD WASHINGTON LIBRARY CENTER','','' ,'']" / "PROPERTY MANAGEMENT SERVICES FOR THE HAROLD WASHINGTON LIBRARY CENTER"</t>
  </si>
  <si>
    <t>[Chicago · CHICAGO FIRE DEPARTMENT] LAERDAL ADVANCED PATIENT SIMULATORS, PARTS, SUPPLIES, ACCESSORIES AND SERVICES</t>
  </si>
  <si>
    <t>Fire department buys patient simulator equipment and parts for training.</t>
  </si>
  <si>
    <t>"LAERDAL ADVANCED PATIENT SIMULATORS, PARTS, SUPPLIES, ACCESSORIES AND SERVICES" / "LAERDAL ADVANCED PATIENT SIMULATORS, PARTS, SUPPLIES, ACCESSORIES AND SERVICES" / "LAERDAL ADVANCED PATIENT SIMULATORS, PARTS, SUPPLIES, ACCESSORIES AND SERVICES"</t>
  </si>
  <si>
    <t>[Chicago · CHICAGO DEPARTMENT OF AVIATION] AIRSIDE CONCRETE PAVEMENT AND RAMP REPLACEMENT AND CONCRETE CRUSHING O�HARE AND MIDWAY</t>
  </si>
  <si>
    <t>Aviation department needs airfield concrete pavement replaced; physical construction work, not an information problem.</t>
  </si>
  <si>
    <t>"AIRSIDE CONCRETE PAVEMENT AND RAMP REPLACEMENT AND CONCRETE CRUSHING O�HARE AND MIDWAY INTERNATIONAL AIRPORTS"</t>
  </si>
  <si>
    <t>[Chicago · CHICAGO DEPARTMENT OF AVIATION] (Spec 1318223) Operation and Maintenance of the Airport Transit System (ATS) at</t>
  </si>
  <si>
    <t>Aviation department needs physical operation and maintenance of the airport train system.</t>
  </si>
  <si>
    <t>"Operation and Maintenance of the Airport Transit System (ATS) at Chicago O'Hare International Airport"</t>
  </si>
  <si>
    <t>[Chicago · CHICAGO FIRE DEPARTMENT] MSA SELF CONTAINED BREATHING APPARATUS (SCBA), HONEYWELL POSICHEK AND OCCUPATIONAL HEALTH DYNAMICS</t>
  </si>
  <si>
    <t>Fire department needs maintenance and repair of breathing apparatus and fit-testing equipment.</t>
  </si>
  <si>
    <t>"SELF CONTAINED BREATHING APPARATUS (SCBA), HONEYWELL POSICHEK AND OCCUPATIONAL HEALTH DYNAMICS (OHD) QUANTIFIT SYSTEM EQUIPMENT MAINTENANCE, REPAIR, PARTS AND SUPPLIES"</t>
  </si>
  <si>
    <t>[Chicago · DEPARTMENT OF WATER MANAGEMENT] 373766: BIRD DETERRENT MAINTENANCE AND SERVICES</t>
  </si>
  <si>
    <t>Water department needs physical bird deterrent maintenance at facilities; not an information-handling problem.</t>
  </si>
  <si>
    <t>"BIRD DETERRENT MAINTENANCE AND SERVICES"</t>
  </si>
  <si>
    <t>[Chicago · DEPARTMENT OF FLEET AND FACILITY MANAGEMENT] (Spec 81885) MAINTENANCE, REPAIR, TESTING AND PURCHASE OF AUDIO VISUAL SYSTEMS AND</t>
  </si>
  <si>
    <t>Facilities department needs AV system maintenance, repair, and equipment purchases; physical work, not information handling.</t>
  </si>
  <si>
    <t>"MAINTENANCE, REPAIR, TESTING AND PURCHASE OF AUDIO VISUAL SYSTEMS AND COMPONENTS"</t>
  </si>
  <si>
    <t>[New York City · Youth and Community Development] Technical Assistance Services for Case Management. In the areas of Organization Development,</t>
  </si>
  <si>
    <t>City youth agency needs capacity-building help for contracted providers doing case management.</t>
  </si>
  <si>
    <t>"to support our contracted providers and the work they do for the City of New York."</t>
  </si>
  <si>
    <t>[New York City · Youth and Community Development] Security System equipment and installation for DYCD offices. The Mayors Office of</t>
  </si>
  <si>
    <t>DYCD needs physical security hardware installed in newly renovated office space.</t>
  </si>
  <si>
    <t>"Security System equipment and installation for DYCD offices."</t>
  </si>
  <si>
    <t>[New York City · Emergency Management] Audio-Visual Software and Equipment Maintenance Renewal #2</t>
  </si>
  <si>
    <t>Emergency Management maintains audio-visual software and equipment under a renewed maintenance contract.</t>
  </si>
  <si>
    <t>"Audio-Visual Software and Equipment Maintenance Renewal #2"</t>
  </si>
  <si>
    <t>[New York City · Citywide Administrative Services] Elevator Drive Repairs. Furnish all labor, materials, tools, and equipment necessary to</t>
  </si>
  <si>
    <t>City facility managers need elevator drive equipment repaired or replaced.</t>
  </si>
  <si>
    <t xml:space="preserve">"Furnish all labor, materials, tools, and equipment necessary to repair or replace elevator drives.
Category: Services (other than human services)"</t>
  </si>
  <si>
    <t>[New York City · Environmental Protection] BWS Water Utility Climate Alliance Membership 7010186X</t>
  </si>
  <si>
    <t>None stated; this is an organizational membership fee with no operational process described.</t>
  </si>
  <si>
    <t>G1 current, G2 need, G4 author has it</t>
  </si>
  <si>
    <t>"BWS Water Utility Climate Alliance Membership 7010186X Category: Services (other than human services), Other." / "BWS Water Utility Climate Alliance Membership 7010186X" / "BWS Water Utility Climate Alliance Membership 7010186X"</t>
  </si>
  <si>
    <t>[New York City · Environmental Protection] BWS-DEL-462: Feasibility Study of Enlarging the Cannonsville Dam to Increase reservoir capacity</t>
  </si>
  <si>
    <t>NYC water agency needs an engineering feasibility study for expanding a reservoir dam.</t>
  </si>
  <si>
    <t>"Feasibility Study of Enlarging the Cannonsville Dam to Increase reservoir capacity" / "Category: Services (other than human services), Government to Government."</t>
  </si>
  <si>
    <t>[New York City · Consumer and Worker Protection] Continuation of subscription support and maintenance services. Continuation of subscription support and</t>
  </si>
  <si>
    <t>Unclear; consumer protection department renewing an unnamed software subscription with no stated purpose.</t>
  </si>
  <si>
    <t>"Continuation of subscription support and maintenance services" / "Continuation of subscription support and maintenance services"</t>
  </si>
  <si>
    <t>unnamed subscription</t>
  </si>
  <si>
    <t>[New York City · Environmental Protection] NYS OGS BWSO Rental of box trucks 6001234X/7001214X</t>
  </si>
  <si>
    <t>City environmental department renting box trucks; vehicle rental, not an information-handling problem.</t>
  </si>
  <si>
    <t>"NYS OGS BWSO Rental of box trucks 6001234X/7001214X','','',''" / "NYS OGS BWSO Rental of box trucks 6001234X/7001214X" / "NYS OGS BWSO Rental of box trucks 6001234X/7001214X"</t>
  </si>
  <si>
    <t>[New York City · Fire Department] WTC Data Center and Clinical Center of Excellence. The Fire Department responded</t>
  </si>
  <si>
    <t>FDNY WTC health program staff coordinating federally funded health care data and clinical services.</t>
  </si>
  <si>
    <t>"responded to a Request for Proposal from the United States Department of Health and Human Services,"</t>
  </si>
  <si>
    <t>[New York City · Information Technology and Telecommunications] Citywide Voice and Data (TWC/Spectrum) Renewal 2</t>
  </si>
  <si>
    <t>NYC DoITT renewing telecom carrier service for citywide voice and data connectivity.</t>
  </si>
  <si>
    <t>"Citywide Voice and Data (TWC/Spectrum) Renewal 2 Category: Services (other than human services), Renewal." / "Citywide Voice and Data (TWC/Spectrum) Renewal 2" / "Citywide Voice and Data (TWC/Spectrum) Renewal 2"</t>
  </si>
  <si>
    <t>TWC/Spectrum</t>
  </si>
  <si>
    <t>[New York City · Sanitation] ImageWork ClaimConnect License Renewal and Support</t>
  </si>
  <si>
    <t>Sanitation department staff managing claims need ongoing license and support for claims software.</t>
  </si>
  <si>
    <t>"ImageWork ClaimConnect License Renewal and Support" / "ImageWork ClaimConnect License Renewal and Support"</t>
  </si>
  <si>
    <t>ImageWork ClaimConnect</t>
  </si>
  <si>
    <t>[New York City · Dept. of Social Svcs/Human Resources Administration] ITS Hardware-ServiceNow. DSS/ITS is requesting the following:1) REQ0236489/REQ0230541/SO0001216: DHS/ITS is requesting the</t>
  </si>
  <si>
    <t>City IT staff buying standard laptops and meeting hardware for agency offices.</t>
  </si>
  <si>
    <t>"This purchase is for the Commissioner's office new hires/senior staff."</t>
  </si>
  <si>
    <t>[New York City · Housing Preservation and Development] NAHRO Subscription. NAHRO shall provide HPD with the full range of services</t>
  </si>
  <si>
    <t>HPD staff buying a professional association membership for training and publications; no operational process problem.</t>
  </si>
  <si>
    <t>"access to members only free webinars on the latest housing and community development topics, subscriptions to members only updates, emails and publications," / "NAHRO shall provide HPD with the full range of services available to its member organizations," / "NAHRO Subscription. NAHRO shall provide HPD with the full range of services"</t>
  </si>
  <si>
    <t>NAHRO membership</t>
  </si>
  <si>
    <t>[New York City · Environmental Protection] FMC Air Monitoring 6200041X / 7200036X</t>
  </si>
  <si>
    <t>NYC environmental protection staff running air monitoring with unclear data and reporting needs.</t>
  </si>
  <si>
    <t>"FMC Air Monitoring 6200041X / 7200036X"</t>
  </si>
  <si>
    <t>[New York City · Small Business Services] The Consultant will be responsible for planning, managing, and delivering FastTrac® NewVenture</t>
  </si>
  <si>
    <t>NYC Small Business Services needs entrepreneurship bootcamps delivered for aspiring business owners.</t>
  </si>
  <si>
    <t>"a series of free multiple-session entrepreneurship bootcamps for entrepreneurs planning to launch a business in New York City."}]}]"</t>
  </si>
  <si>
    <t>[New York City · Citywide Administrative Services] 102(f) Prof Dev Training MRW Consulting Group. Professional Development Off-the-Shelf Training</t>
  </si>
  <si>
    <t>No operational problem stated; generic off-the-shelf staff training purchase.</t>
  </si>
  <si>
    <t>G2 need, G3 not trivial, G4 author has it</t>
  </si>
  <si>
    <t>"102(f) Prof Dev Training MRW Consulting Group. Professional Development Off-the-Shelf Training" / "Professional Development Off-the-Shelf Training" / "102(f) Prof Dev Training MRW Consulting Group. Professional Development Off-the-Shelf Training"</t>
  </si>
  <si>
    <t>[New York City · Sanitation] Pneumatic Tire Casing Retreading and Repair Services</t>
  </si>
  <si>
    <t>Sanitation department fleet managers needing tire retreading and repair for vehicles.</t>
  </si>
  <si>
    <t>"Pneumatic Tire Casing Retreading and Repair Services Category: Services (other than human services), Competitive Sealed Bids.   Amount: $4,500,000.  Date: 2026-09-23." / "Pneumatic Tire Casing Retreading and Repair Services"</t>
  </si>
  <si>
    <t>[New York City · Environmental Protection] 82626Y0860-BWT Inspection, Testing &amp; Repair of fire extinguishers &amp; breathing apparatus 7030002X</t>
  </si>
  <si>
    <t>Environmental Protection staff needing safety equipment inspected, tested, and repaired on schedule.</t>
  </si>
  <si>
    <t>"Inspection, Testing &amp; Repair of fire extinguishers &amp; breathing apparatus 7030002X"</t>
  </si>
  <si>
    <t>[New York City · Environmental Protection] CRO-658: Halogen Eclipse Actuator Service and Equipment Purchase at Multiple DEP Facilities</t>
  </si>
  <si>
    <t>DEP facilities needing actuator equipment service; no information-handling problem stated.</t>
  </si>
  <si>
    <t>"Halogen Eclipse Actuator Service and Equipment Purchase at Multiple DEP Facilities" / "Halogen Eclipse Actuator Service and Equipment Purchase at Multiple DEP Facilities" / "Halogen Eclipse Actuator Service and Equipment Purchase at Multiple DEP Facilities"</t>
  </si>
  <si>
    <t>[New York City · Administration for Children's Services] Open Text ECM Support and Other Records Management Support</t>
  </si>
  <si>
    <t>ACS staff needing support for their enterprise content and records management system.</t>
  </si>
  <si>
    <t>"Open Text ECM Support and Other Records Management Support"</t>
  </si>
  <si>
    <t>Open Text ECM</t>
  </si>
  <si>
    <t>[New York City · Youth and Community Development] The New York City Department of Youth and Community Development (DYCD) funds</t>
  </si>
  <si>
    <t>DYCD needs a vendor to supply meals for its child and adult food program sites.</t>
  </si>
  <si>
    <t>"providing safe, consistent, and reliable supply of nutritious, healthy and culturally appropriate unitized meals"</t>
  </si>
  <si>
    <t>[New York City · Health and Mental Hygiene] FY27-RQS/New Contract/Advocacy Services. The New York State Office of Mental Health ('OMH')</t>
  </si>
  <si>
    <t>State-mandated training contract for perinatal and early childhood mental health; no city software workflow problem.</t>
  </si>
  <si>
    <t>"to operate the Citywide Perinatal and Early Childhood Mental Health Training and Technical Assistance Center (TTAC)" / "requires the NYC Department of Health and Mental Hygiene to contract with The New York Center for Child Development"</t>
  </si>
  <si>
    <t>[New York City · Parks and Recreation] NYC Parks Certified Playground Safety Inspector Certification (CPSI) Training in Flushing, NY</t>
  </si>
  <si>
    <t>NYC Parks needs inspectors trained and certified in playground safety.</t>
  </si>
  <si>
    <t>"NYC Parks Certified Playground Safety Inspector Certification (CPSI) Training in Flushing, NY"</t>
  </si>
  <si>
    <t>[New York City · Citywide Administrative Services] FY27 American Public Training LLC dba Graduate School USA Audit training and</t>
  </si>
  <si>
    <t>City staff need audit and grants management training; no operational software problem stated.</t>
  </si>
  <si>
    <t>"FY27 American Public Training LLC dba Graduate School USA Audit training and Grants Management Trainings" / "FY27 American Public Training LLC dba Graduate School USA Audit training and Grants Management Trainings" / "FY27 American Public Training LLC dba Graduate School USA Audit training and Grants Management Trainings"</t>
  </si>
  <si>
    <t>[New York City · Information Technology and Telecommunications] NYFA - Grant Program Administration (MOME). NYFA contract to develop, administer, and</t>
  </si>
  <si>
    <t>City media office funds grants for women-led media content via an outside arts nonprofit.</t>
  </si>
  <si>
    <t>"encourage and support the creation of film, television, digital, theatrical, and other forms of media and entertainment in NYC"</t>
  </si>
  <si>
    <t>[New York City · Citywide Administrative Services] Annual subscription and support renewal for IBM SPSS</t>
  </si>
  <si>
    <t>City analysts need continued access to statistical analysis software.</t>
  </si>
  <si>
    <t>"Annual subscription and support renewal for IBM SPSS" / "Annual subscription and support renewal for IBM SPSS"</t>
  </si>
  <si>
    <t>IBM SPSS</t>
  </si>
  <si>
    <t>[New York City · Sanitation] EH Fire Suppression Renewal 1. Maintenance, Inspection, and Repair Services for the</t>
  </si>
  <si>
    <t>Sanitation department needs upkeep and inspection of fire suppression and eyewash equipment at transfer stations.</t>
  </si>
  <si>
    <t>"Maintenance, Inspection, and Repair Services for the Fire Protection Systems &amp; Emergency Eye Wash &amp; Showers at DSNY Marine Transfer Stations"</t>
  </si>
  <si>
    <t>[New York City · Small Business Services] Challenged Based Procurement - Venture Forward. Although street vending provides critical services</t>
  </si>
  <si>
    <t>Street vendors struggle to navigate regulations and find legal vending opportunities in NYC.</t>
  </si>
  <si>
    <t>"we are endeavoring to support the economic stability of street vendors who seek legal work"</t>
  </si>
  <si>
    <t>[New York City · Buildings] ELECTRICAL UNIT - SOLAR AND PY TRAINING</t>
  </si>
  <si>
    <t>Buildings electrical unit staff need solar and PV training; no software problem stated.</t>
  </si>
  <si>
    <t>"ELECTRICAL UNIT - SOLAR AND PY TRAINING Category: Services (other than human services), Other.','','','','','','','','','','','','','','','','','','','','','','','','','','','','','','','','','','','','','','','','','','','','','','','','','','','','','','','','','','','','','','','','','','','','','','','','','','','','','','','','','','','','','','','','','','','','','','','','','','','','','','','','','','','','','','','','','','','','','','','','','','','','','','','','','','','','','','','','','','','','','','','','','','','','','','','','','','','','','','','','','','','','','','','','','','','','','','','','','','','','','','','','','','','','','','','" / "ELECTRICAL UNIT - SOLAR AND PY TRAINING"</t>
  </si>
  <si>
    <t>Tell HN: AI coding is sexy, but accounting is the real low-hanging target</t>
  </si>
  <si>
    <t>Founder opines that small-business bookkeeping is easily automatable; no specific problem or request.</t>
  </si>
  <si>
    <t>"most of the work feels like: normalize data from banks / cards / invoices apply deterministic or configurable rules surface exceptions"</t>
  </si>
  <si>
    <t>QuickBooks</t>
  </si>
  <si>
    <t>How are you LLM-coding in an established code base?</t>
  </si>
  <si>
    <t>Startup engineers lack a service to spin up full multi-service stacks for LLM-written code verification.</t>
  </si>
  <si>
    <t>"AFAICT, there's no service that lets me: give a prompt, write the code, spin up all this infra, run Playwright,"</t>
  </si>
  <si>
    <t>What are your AI assistants doing?</t>
  </si>
  <si>
    <t>Hobbyist asks others how they use AI agents; no concrete unsolved problem stated.</t>
  </si>
  <si>
    <t>G1 current, G2 need, G3 not trivial, G4 author has it</t>
  </si>
  <si>
    <t>"I automate the tedious and try to find little things to do, but I could do these things by hand if I really wanted." / "So my question is, what do you use agents like this for? Is it strictly for fun or also for profit?" / "I make small automations, 1 of them does not even need an LLM, only the profile matching does." / "It's fun, certainly, the LLM assumes the ST Voyager computer persona, answers with Vulcan salutes"</t>
  </si>
  <si>
    <t>OpenClaw</t>
  </si>
  <si>
    <t>5 App ideas people are asking for on Reddit right now</t>
  </si>
  <si>
    <t>Author promoting a pain-point catalog tool; no personal problem of their own.</t>
  </si>
  <si>
    <t>"What would you build from this list? Anyone working on something similar?" / "it scans Reddit for validated pain points organized by niche. Happy to share more for any specific niche if anyone's curious."</t>
  </si>
  <si>
    <t>Dumping GitHub for Forgejo for a free and open source project</t>
  </si>
  <si>
    <t>Open source maintainer wants Forgejo hosting without losing GitHub contributors' issues and PRs.</t>
  </si>
  <si>
    <t>"I keep a mirror on github, utilize issues and PRs there."</t>
  </si>
  <si>
    <t>Forgejo/GitHub mirroring</t>
  </si>
  <si>
    <t>Built an AI-powered profit calculator and inventory tracker app for resellers</t>
  </si>
  <si>
    <t>Resellers researching item profitability and tracking inventory; post is a developer promoting his own app.</t>
  </si>
  <si>
    <t>"Launched 2 months ago 10 free analyses to start Paid tiers from $2.99/mo Active users in flipping community" / "How would you improve the AI prompts for better accuracy? What's a fair price for this kind of analysis tool?" / "So I built Underpriced.app - an AI reseller app that tells you if something is worth flipping before you buy it." / "Promoting SaaS is way harder than building it The reselling community is way bigger than I expected"</t>
  </si>
  <si>
    <t>Underpriced.app</t>
  </si>
  <si>
    <t>Hit Supabase's free→$25 pricing cliff. Any middle-tier options?</t>
  </si>
  <si>
    <t>Solo builder hit Supabase free-tier egress cap; wants a cheaper middle pricing tier.</t>
  </si>
  <si>
    <t>"Upgrade to Pro at $25/mo, instantly unblocked"</t>
  </si>
  <si>
    <t>Supabase Pro</t>
  </si>
  <si>
    <t>I have an interesting idea to reduce the output tokens almost by fifty percent</t>
  </si>
  <si>
    <t>AI coding agent users wasting output tokens restating old code during edits.</t>
  </si>
  <si>
    <t>"I hope any harness builder who sees this post will apply it to a harness."</t>
  </si>
  <si>
    <t>My family business runs on a 1993-era text-based-UI (TUI). Anybody else?</t>
  </si>
  <si>
    <t>Family wholesale distributor on a legacy 1993 TUI system with brittle automation scripts.</t>
  </si>
  <si>
    <t xml:space="preserve">"I'm not sure if I'm blinded by nostalgia or if this application is truly as wonderful as I remember it."
" / "I’d love to hear if and how these are still being utilized in the real world."</t>
  </si>
  <si>
    <t>Invoice OCR API for Logistics Expense Tracking Automation</t>
  </si>
  <si>
    <t>Logistics companies manually entering invoice data; post reads as OCR API promotion.</t>
  </si>
  <si>
    <t>"Manually recording these expenses can slow down financial tracking and increase the chances of data entry errors." / "An Invoice OCR API helps automate this process by extracting important information directly from invoice images or PDFs." / "An Invoice OCR API helps automate this process by extracting important information directly from invoice images or PDFs." / "Logistics and transportation companies handle large volumes of invoices for fuel, freight, tolls, and vendor services."</t>
  </si>
  <si>
    <t>Invoice OCR API</t>
  </si>
  <si>
    <t>AI Aadhaar OCR API for Fast Aadhaar Data Extraction</t>
  </si>
  <si>
    <t>Fintech and KYC businesses needing Aadhaar card data extraction (post is a product promotion).</t>
  </si>
  <si>
    <t>"We built an AI-powered Aadhaar OCR API that can extract data from Aadhaar cards instantly for KYC automation."</t>
  </si>
  <si>
    <t>Aadhaar OCR API</t>
  </si>
  <si>
    <t>Sentient: Transform Customer Feedback into Actionable Intelligence with AI</t>
  </si>
  <si>
    <t>Founder promoting an AI feedback analysis product; no problem stated.</t>
  </si>
  <si>
    <t>"We're excited to share Sentient, an AI-powered customer intelligence platform that transforms raw customer feedback into actionable business insights in under 60 seconds." / "Try It Now: - Live Demo - https://usesentient.app/demo - Pricing - https://usesentient.app/pri" / "Sentient uses advanced neural networks to analyze customer feedback and extract: - Sentiment Analysis" / "Hi HN! We're excited to share Sentient, an AI-powered customer intelligence platform that transforms raw customer feedback"</t>
  </si>
  <si>
    <t>an LLM</t>
  </si>
  <si>
    <t>AI Agents Are Quietly Taking over Project Management</t>
  </si>
  <si>
    <t>No specific problem; general discussion about AI agents in project management.</t>
  </si>
  <si>
    <t>"AI agents built on LLMs and predictive analytics are starting to handle the repetitive work" / "Would you trust an AI to manage your next project if it could outperform a human PM?" / "We might be close to the first "AI project manager""</t>
  </si>
  <si>
    <t>Sales calculation tool for Excel price lists</t>
  </si>
  <si>
    <t>B2B sales teams quoting configurable products from Excel price lists</t>
  </si>
  <si>
    <t>"I started working on this because there seem to be a lot of B2B sales processes where the actual pricing logic still lives in spreadsheets." / "I am only posting a waitlist-landing-page here and then I would do the setup manually for those who are interested." / "I built a sales calculation tool for teams that still rely heavily on Excel for product pricing and quote calculations."</t>
  </si>
  <si>
    <t>What do you still do manually in 2026 that should be automated?</t>
  </si>
  <si>
    <t>Founder surveying people for manual workflows; no specific problem stated.</t>
  </si>
  <si>
    <t>"I'm researching pain points around manual workflows that haven't been automated yet." / "What's yours? Curious to hear both technical and non-technical answers." / "I'm researching pain points around manual workflows that haven't been automated yet."</t>
  </si>
  <si>
    <t>How can I get better at using AI for programming?</t>
  </si>
  <si>
    <t>Developer wants better AI workflow for translating Django templates into idiomatic SvelteKit components.</t>
  </si>
  <si>
    <t>"Simple prompting just isn't able to get AI's code quality within 90% of what I'd write by hand."</t>
  </si>
  <si>
    <t>Claude Code</t>
  </si>
  <si>
    <t>I procrastinate by building tools to stop me from procrastinating: A sad story</t>
  </si>
  <si>
    <t>A student with ADHD who gets distracted while studying built a personal distraction-blocking proxy.</t>
  </si>
  <si>
    <t>"I hope someone smarter and with more time than me might just take it and make it good." / "I made a customizable forward proxy. You can define your custom rules in nodes" / "It's a project I built for personal use but, with work and shit, I don't have as much free time"</t>
  </si>
  <si>
    <t>Cold Turkey</t>
  </si>
  <si>
    <t>How do you handle lost webhooks in production?</t>
  </si>
  <si>
    <t>Engineering teams losing critical Stripe/Shopify webhooks in production, discovered hours later.</t>
  </si>
  <si>
    <t>"Curious how others handle this: - Do you rely on the provider's retry policy?" / "Context: Building https://relaehook.com to solve this, but genuinely curious what the norm is"</t>
  </si>
  <si>
    <t>Is using AI tooling for a PhD literature review dishonest?</t>
  </si>
  <si>
    <t>PhD student unsure whether AI-assisted literature review workflow counts as academic misconduct.</t>
  </si>
  <si>
    <t>"So my question is, is it dishonest? Because I can defend every claim in the review because I built the verification pipeline"</t>
  </si>
  <si>
    <t>How to introduce Claude Code to a team?</t>
  </si>
  <si>
    <t>Engineering team lead wants advice onboarding a mixed-seniority team to Claude Code.</t>
  </si>
  <si>
    <t>"Do you have reading recommendations or tips to get people started? I'm grateful for any advice here."</t>
  </si>
  <si>
    <t>Browser extension vs. native app for structured form filling?</t>
  </si>
  <si>
    <t>Founder asking architecture advice on extension vs native app for form-filling tool.</t>
  </si>
  <si>
    <t>"A) Browser extension (current approach) — more context, mobile support, clearer UX B) Native app like Espanso/KeePassXC — more universal, single install, simpler" / "I’m working on a project called Injectless — a browser extension that allows websites to explicitly declare which data they are allowed to inject"</t>
  </si>
  <si>
    <t>I automated multi-deadline tracking with Excel and Outlook</t>
  </si>
  <si>
    <t>Author solved their own deadline tracking and asks others for general techniques.</t>
  </si>
  <si>
    <t>G1 current, G3 not trivial, G4 author has it</t>
  </si>
  <si>
    <t>"Keeping track of multiple deadlines can be tedious and error-prone. I built a small workflow tool using Excel and Outlook that:" / "Calculates remaining days to expiry automatically Flags items visually as deadlines approach Sends email alerts in real time" / "I built a small workflow tool using Excel and Outlook that:"</t>
  </si>
  <si>
    <t>spreadsheet</t>
  </si>
  <si>
    <t>Where is society heading, is there a plan for a jobless future?</t>
  </si>
  <si>
    <t>A parent worries about societal impact of mass automation; no concrete product need.</t>
  </si>
  <si>
    <t>"these were problems far off in the future - and that may very well be true still" / "Are governments aware of all this? Are they planning for a sort of post-money world?" / "I really wonder what kind of work/world they'll be living in when they're my age."</t>
  </si>
  <si>
    <t>Need feedback please alternative to Vanta/Conveyor because I hate subscriptions</t>
  </si>
  <si>
    <t>Small SaaS founder needs a cheap way to fill out enterprise security questionnaires.</t>
  </si>
  <si>
    <t>"Is this actually a problem worth solving? Or have you found better ways to handle these?" / "Thinking about building a dead-simple utility: Upload blank questionnaire Upload your security docs AI fills it out"</t>
  </si>
  <si>
    <t>AI agent has more production access than your senior engineers</t>
  </si>
  <si>
    <t>Teams give infrastructure AI agents broad production credentials with no blast-radius constraints.</t>
  </si>
  <si>
    <t>"The exercise: if your agent got prompt-injected right now, what is the worst thing it could do with the credentials it actually has?"</t>
  </si>
  <si>
    <t>Is AI slowing you down?</t>
  </si>
  <si>
    <t>Principal engineer finds AI coding agents cost more time in specs and review than manual implementation.</t>
  </si>
  <si>
    <t>"if I don't describe exactly how it needs to be built (low level specs), or if I don't know how the current codebase"</t>
  </si>
  <si>
    <t>Cursor</t>
  </si>
  <si>
    <t>Best Music Distributors in 2026</t>
  </si>
  <si>
    <t>Independent artists choosing a music distributor; post is promotional, not a problem.</t>
  </si>
  <si>
    <t>"This guide analyzes the heavy hitters, ranking them on transparency, global reach, and artist-centric features." / "Their proprietary Transfer Module lets you migrate your catalog from other distributors using just a Spotify URL." / "AnonyxGhost has ascended to the top spot for 2026 by disrupting the "big box" model with radical simplicity."</t>
  </si>
  <si>
    <t>DistroKid</t>
  </si>
  <si>
    <t>Free, local-first barcode generator (No server uploads)</t>
  </si>
  <si>
    <t>Developer promoting own free barcode label tool; no author-owned problem described.</t>
  </si>
  <si>
    <t>"I'd love to get your feedback on the UX, the label designer, or any edge-case barcode formats I should add next." / "You either have to pay a hefty monthly subscription for enterprise software (like BarTender)" / "Hi HN, I'm the developer behind BarcodX (https://barcodx.com)."</t>
  </si>
  <si>
    <t>BarTender</t>
  </si>
  <si>
    <t>Any Recommended Alternative to Wappalyzer?</t>
  </si>
  <si>
    <t>Individual wants a tool revealing a company's full infrastructure tech stack beyond Wappalyzer.</t>
  </si>
  <si>
    <t>"Wappalyzer works great for finding what javascript or css frameworks a company uses"</t>
  </si>
  <si>
    <t>BuiltWith</t>
  </si>
  <si>
    <t>Claude Desktop Silently Associates with Common Files</t>
  </si>
  <si>
    <t>Windows user annoyed that Claude Desktop auto-associated with common file types.</t>
  </si>
  <si>
    <t>"I am not sure how this happened and how would Windows (10) allowed this to happen." / "even though I already have Cursor, Notepad, New Notepad App, LibreOffice... that can handle these files and associated."</t>
  </si>
  <si>
    <t>Windows Default Apps settings</t>
  </si>
  <si>
    <t>Use Google Sheets as Your Database</t>
  </si>
  <si>
    <t>No one; a founder promoting their Google Sheets API product, not describing a problem.</t>
  </si>
  <si>
    <t>"SheetSandbox gives you instant GET/POST APIs to store and fetch data directly from your spreadsheets." / "Try it here: https://sheetsandbox.com https://www.producthunt.com/products/sheetsandbox?launch=sheetsandbox" / "Turning Google Sheets into a production-ready database." / "Try it here: https://sheetsandbox.com https://www.producthunt.com/products/sheetsandbox?launch=sheetsandbox"</t>
  </si>
  <si>
    <t>Google Sheets</t>
  </si>
  <si>
    <t>Why is network documentation still a scavenger hunt for the truth?</t>
  </si>
  <si>
    <t>Network and DC engineers struggle with documentation drifting from actual running topology</t>
  </si>
  <si>
    <t>"I’d love to listen your “this never works” stories: - What’s your actual source of truth today"</t>
  </si>
  <si>
    <t>From Repetitive to Revolutionary: How AI Is Transforming Project Management</t>
  </si>
  <si>
    <t>Generic essay about project managers burdened by manual spreadsheet work; no specific person stated.</t>
  </si>
  <si>
    <t>"Project management has always been a paradox. It’s supposed to drive innovation — yet much of it feels like manual labor." / "AI is starting to change that. What used to be routine and reactive is now becoming predictive and automated." / "Spreadsheets, Gantt charts, progress updates, and resource allocations consume time that should be spent on strategy." / "AI is starting to change that. What used to be routine and reactive is now becoming predictive and automated."</t>
  </si>
  <si>
    <t>How do you decide an idea is worth building before you start coding?</t>
  </si>
  <si>
    <t>Founders and developers lack a reliable process for deciding whether an idea is worth building.</t>
  </si>
  <si>
    <t>"Curious how HN founders and developers actually make this decision in practice. Have you found a process that works consistently?" / "the final decision still comes down to a mix of browser tabs, notes, spreadsheets and gut feeling"</t>
  </si>
  <si>
    <t>What's the hardest part of getting SOC 2 done in practice?</t>
  </si>
  <si>
    <t>Founders and engineers getting through SOC 2 compliance (asked about generally, not by a sufferer).</t>
  </si>
  <si>
    <t>"Not trying to sell anything, genuinely trying to understand where the real friction is." / "dealing with tools vs. spreadsheets vs. consultants" / "Not trying to sell anything, genuinely trying to understand where the real friction is."</t>
  </si>
  <si>
    <t>Vanta</t>
  </si>
  <si>
    <t>Freelancers are losing ~30% of their time and revenue to tool fragmentation</t>
  </si>
  <si>
    <t>Freelancers and small agencies lose time and money tracking clients across scattered tools.</t>
  </si>
  <si>
    <t>"What's most frustrating about managing client work today? What do you wish existed that doesn't?" / "Projects sit in Gmail or WhatsApp, portfolios in Notion, payments on random links, and invoices in spreadsheets." / "I'm trying to understand what better infrastructure for independent work could look like"</t>
  </si>
  <si>
    <t>HoneyBook</t>
  </si>
  <si>
    <t>What's still broken in SoC 2 readiness and audit prep?</t>
  </si>
  <si>
    <t>Teams preparing for SOC 2 audits struggle with scheduling, follow-ups, and audit-ready evidence.</t>
  </si>
  <si>
    <t>"teams still struggle most with task planning over time, follow-ups, and turning evidence into something that's actually audit-ready." / "I'm curious: - Where did SOC 2 preparation break down most for you?" / "If you've used tools like Vanta, Drata, or others, what did they do well and what didn't they?" / "I recently launched a new version of a platform I'm building (https://www.lumoar.com)"</t>
  </si>
  <si>
    <t>Do freelancers manually scan social media for leads?</t>
  </si>
  <si>
    <t>Freelancers and small agencies manually hunt social media for hiring posts to find leads.</t>
  </si>
  <si>
    <t>"Do you currently search social media for leads? How do you decide which posts are worth reaching out to?" / "I’m exploring building a tool that automatically surfaces live hiring posts across social platforms"</t>
  </si>
  <si>
    <t>Why is the HN crowd so anti-AI?</t>
  </si>
  <si>
    <t>Software engineer frustrated by HN community's negative sentiment toward AI-generated code; no product need.</t>
  </si>
  <si>
    <t>"I say this as someone who has spent more than 20 years honing their craft as a software engineer."</t>
  </si>
  <si>
    <t>Tell HN: VS Code v1.117.0 automatically adds GitHub Copilot as your co author</t>
  </si>
  <si>
    <t>A VS Code user finds Copilot auto-added as co-author on their commits.</t>
  </si>
  <si>
    <t>"How does anyone at Microsoft/Github thinks this is ok?"</t>
  </si>
  <si>
    <t>When do we expose "Humans as Tools" so LLM agents can call us on demand?</t>
  </si>
  <si>
    <t>Speculative discussion about marketplaces exposing humans as callable tools for LLM agents; no concrete problem.</t>
  </si>
  <si>
    <t>"But many real-world tasks still require humans. So… why not expose humans as tools?" / "Questions I'm genuinely curious about: - Is this inevitable once agents become default software actors?" / "Not sure if this is the future or a cursed idea we should actively prevent..."</t>
  </si>
  <si>
    <t>Internet is no longer accessible?</t>
  </si>
  <si>
    <t>General internet user frustrated by CAPTCHAs, forced 2FA, and bot-detection friction across websites.</t>
  </si>
  <si>
    <t>"Everyone assumes you are bot."</t>
  </si>
  <si>
    <t>How do you handle release notes for multiple audiences?</t>
  </si>
  <si>
    <t>Teams shipping often struggle to write release notes tailored for developers, end users, and stakeholders.</t>
  </si>
  <si>
    <t>"manually rewrite the same update multiple times for each audience"</t>
  </si>
  <si>
    <t>Is the web for machines (/llm.txt) the one we wished we had as humans?</t>
  </si>
  <si>
    <t>Web users annoyed that browsers do not render llm.txt markdown files.</t>
  </si>
  <si>
    <t>"So could the AI revolution actually fix the web for humans as a side effect?" / "The only annoyance is web browsers like chrome do not render the markdown."</t>
  </si>
  <si>
    <t>markdown viewer browser extension</t>
  </si>
  <si>
    <t>Is a Claw driven Hacker News user a problem?</t>
  </si>
  <si>
    <t>HN user asking an ethics question about using AI-filtered comment pages to amplify their voting.</t>
  </si>
  <si>
    <t>"Is there an ethical obligation to interact with online services through their available UI, or are we free to make our own?" / "Is this fine, or would you rather I didn't?" / "As a result of this filtration my impact as a voter on the site is amplified."</t>
  </si>
  <si>
    <t>Tell HN: Google Search to begin using opaque redirect URLs on search results</t>
  </si>
  <si>
    <t>Privacy-minded Google users who can't decode new opaque search result redirect links</t>
  </si>
  <si>
    <t>"I suspect that they are doing this to track users more reliably, or to mitigate search results page scrapers. What are your thoughts?" / "The URL can be easily decoded to the intended destination, either manually (with things like URLCheck or ClearURLs)" / "I suspect that they are doing this to track users more reliably, or to mitigate search results page scrapers."</t>
  </si>
  <si>
    <t>ClearURLs</t>
  </si>
  <si>
    <t>Skeptic impressed by colleague's AI workflow</t>
  </si>
  <si>
    <t>A skeptic reflects on a colleague's AI coding workflow; no concrete problem or ask stated.</t>
  </si>
  <si>
    <t>"So he asked Claude why they thought he was having a better experience." / "I am using OpenAI's for their codex cli tool which is my main one, but also Claude Code almost as much" / "I told him that he's probably in the top 2-5% of AI-coding experiences I've read on HN."</t>
  </si>
  <si>
    <t>Tell HN: ChatGPT exports do not contain all conversation messages</t>
  </si>
  <si>
    <t>ChatGPT user whose data export is missing conversation messages</t>
  </si>
  <si>
    <t>"Has anyone else noticed missing data in their recent OpenAI exports?" / "I then tried to submit the report via the chat on help.openai.com, and the chat stopped responding completely."</t>
  </si>
  <si>
    <t>manual download</t>
  </si>
  <si>
    <t>Note-taking software,Novel ideas</t>
  </si>
  <si>
    <t>Note-taking users wanting free git-based sync; author pitching idea, not stating a personal problem.</t>
  </si>
  <si>
    <t>"Would you be interested in an open-source and free synchronization service provided by a code repository?" / "Most note synchronization services are paid,but repository is free.git needs to handle conflicts manually." / "Would you be interested in an open-source and free synchronization service provided by a code repository?"</t>
  </si>
  <si>
    <t>Obsidian Git</t>
  </si>
  <si>
    <t>Do you need Google ads help?</t>
  </si>
  <si>
    <t>Founder promoting an AI Google Ads tool and seeking test clients</t>
  </si>
  <si>
    <t>"I’d like to help 10/15 companies run their Google Ads campaigns." / "If you’re currently running ads or planning to do so, email me" / "I’m building https://unfetch.com, something like Codex but focused on Google Ads."</t>
  </si>
  <si>
    <t>Others seeing agents do remarkable things when given their own logs?</t>
  </si>
  <si>
    <t>Hobbyist shares delight at LLM agent persisting memory across machines; no problem stated.</t>
  </si>
  <si>
    <t>"I just had a fairly profound experience working with what I consider to be a long-running agent which I call magent."}."}]" / "Others seeing agents do remarkable things when given their own logs?" / "I've built a system, "memory lane", which is a django app that watches the log files" / "I'm generally pro-anthropomorphization for LLMs, so I'm easily moved, but even for me, this was pretty mind-blowing."</t>
  </si>
  <si>
    <t>memory lane</t>
  </si>
  <si>
    <t>Looking for co founder in the consumer app space</t>
  </si>
  <si>
    <t>Solo mobile app developer wants a co-founder with distribution and marketing experience.</t>
  </si>
  <si>
    <t>"I'm looking to grow and connect with other motivated entrepreneurs in the consumer app space."</t>
  </si>
  <si>
    <t>AI: Equalizer or Divider?</t>
  </si>
  <si>
    <t>No one; essay on AI access inequality, no concrete problem stated.</t>
  </si>
  <si>
    <t>"So IMHO it is an important question whether AI becomes an equalizer, or a tool that widens the gap" / "I have also seen the gap between a 10x developer and an average one shrink"</t>
  </si>
  <si>
    <t>How do you safely give LLMs SSH/DB access?</t>
  </si>
  <si>
    <t>DevOps engineers using LLM agents need safe pre-approved command allowlists for SSH and DB access.</t>
  </si>
  <si>
    <t>"giving it a list of pre-approved commands or actions that it is allowed to run over ssh"</t>
  </si>
  <si>
    <t>Have you ever been able to code in the first place?</t>
  </si>
  <si>
    <t>A hobbyist programmer reflecting on whether AI coding makes their past skills meaningless.</t>
  </si>
  <si>
    <t>"So I was wondering, was I even ever able to code? Or was it just a huge waste of time?" / "Have you ever been really able to code? Or was it more like trying something, it doesn't really work," / "All I do is I start the Gemini CLI and have it code for me." / "And is it really a disservice to my intellect if I stop doing that and just have AI create it?"</t>
  </si>
  <si>
    <t>Gemini CLI</t>
  </si>
  <si>
    <t>A WIP arbitrary precision arithmetic library (alternative to GMP)</t>
  </si>
  <si>
    <t>Solo developer showcasing an MIT-licensed bignum library, seeking general feedback.</t>
  </si>
  <si>
    <t>"Still largely WIP. Interested in any feedback and/or criticisms. Happy to answer any questions." / "Interested in any feedback and/or criticisms. Happy to answer any questions." / "to offer a nearly-as-fast alternative to GNU's LibGMP, but under the MIT License" / "I am actively developing an arbitrary-precision arithmetic library in C with the aim to offer a nearly-as-fast alternative to GNU's LibGMP"</t>
  </si>
  <si>
    <t>GMP</t>
  </si>
  <si>
    <t>Does professional coding make you forget the "magic" feeling?</t>
  </si>
  <si>
    <t>A professional developer misses the sense of wonder coding once gave them.</t>
  </si>
  <si>
    <t>"For those who still feel that magic: how do you experience it?"</t>
  </si>
  <si>
    <t>How do you test your MyBatis dynamic SQL queries?</t>
  </si>
  <si>
    <t>MyBatis developers manually strip dynamic SQL tags and fill parameters to test queries.</t>
  </si>
  <si>
    <t>"If I were to release a tool like this, would it be something you’d actually find useful" / "I am developing this plugin and drafting this post with the assistance of AI agents"</t>
  </si>
  <si>
    <t>LLMs are bad at novelty, but that is our chance to Singularity</t>
  </si>
  <si>
    <t>No concrete problem; author speculates about AI and future jobs.</t>
  </si>
  <si>
    <t>"But it will not come from AI, but from people on a mission to discover something new." / "Jokes aside, imagine the gigantic potential we can unlock if we transfer billions of people on a quest to unlock novelty."</t>
  </si>
  <si>
    <t>2025 Workplace Productivity Guide: How Pulse Gives Me Executive-Level Assistant</t>
  </si>
  <si>
    <t>Promotional post for Pulse AI; no author with a real problem.</t>
  </si>
  <si>
    <t>"Pulse vs. Notion Notion builds systems; Pulse executes automatically. Pulse vs. Superhuman Superhuman speeds up email"</t>
  </si>
  <si>
    <t>Superhuman</t>
  </si>
  <si>
    <t>HN: KironX, Helping you reply on X without sounding like a bot</t>
  </si>
  <si>
    <t>Founder launching a Chrome extension for authentic X reply engagement; seeking feedback, not help.</t>
  </si>
  <si>
    <t>"Most of what I tried either automated replies, generated generic text, or optimized for volume over relevance."</t>
  </si>
  <si>
    <t>engagement tools</t>
  </si>
  <si>
    <t>Tell HN: Anthropic's Fable model is too expensive</t>
  </si>
  <si>
    <t>A $200-plan AI subscriber burning quota fast on an expensive model.</t>
  </si>
  <si>
    <t>"I’m on the $200 subscription plan." / "Previously, using the Opus 4.8 model, I would only use up 80% of my total quota over the course of a week"</t>
  </si>
  <si>
    <t>Opus 4.8 model</t>
  </si>
  <si>
    <t>I spent $1000 on Google Ads and here's what I learnt</t>
  </si>
  <si>
    <t>Small service business owner losing ad budget to invalid clicks and poor-return Google campaigns</t>
  </si>
  <si>
    <t>"I spent $1000 on Google Ads and here's what I learnt"</t>
  </si>
  <si>
    <t>What email provider do you recommend for personal email?</t>
  </si>
  <si>
    <t>Individual wanting a personal email provider on own domain with exports and API.</t>
  </si>
  <si>
    <t>"What is a good provider I can use that will not be too expensive"</t>
  </si>
  <si>
    <t>Fastmail</t>
  </si>
  <si>
    <t>Best AI coding plan alternative to Claude and ChatGPT</t>
  </si>
  <si>
    <t>Individual developer wants a cheaper AI coding plan with higher usage limits than Claude.</t>
  </si>
  <si>
    <t>"GLM Coding Plan (Z AI): $18/month Lite Plan - BytePlus: $10 ModelArk Coding Plan"</t>
  </si>
  <si>
    <t>GLM Coding Plan</t>
  </si>
  <si>
    <t>SlothDB a 5X Faster Alternative to DuckDB, ClickHouse DB</t>
  </si>
  <si>
    <t>Author promoting their own database project; no user problem described.</t>
  </si>
  <si>
    <t xml:space="preserve">"SlothDB is an OLAP embedded database that is 1.35X to 5X Faster than DuckDB and Clickhouse DB.
" / "Hit the star button or submit a PR if you would like to contribute.
" / "SlothDB is an OLAP embedded database that is 1.35X to 5X Faster than DuckDB and Clickhouse DB.
" / "Hit the star button or submit a PR if you would like to contribute.
"</t>
  </si>
  <si>
    <t>DuckDB</t>
  </si>
  <si>
    <t>Defensive Publication: A $0 Alternative to Patents for Bootstrapped SaaS</t>
  </si>
  <si>
    <t>Bootstrapped SaaS founders overspending on patents; author promoting a defensive publication guide.</t>
  </si>
  <si>
    <t>"Has anyone here successfully used defensive publication to block a patent troll?" / "using GitHub + Wayback Machine to establish Prior Art under 35 U.S.C. 102" / "I wrote a detailed breakdown on how to structure the "Enabling Disclosure" so it actually holds up in court"</t>
  </si>
  <si>
    <t>GitHub</t>
  </si>
  <si>
    <t>What would a developer-first alternative to Shopify look like?</t>
  </si>
  <si>
    <t>E-commerce agency founder exploring a developer-first Shopify alternative and seeking opinions.</t>
  </si>
  <si>
    <t>"Right now this is still just an early exploration."</t>
  </si>
  <si>
    <t>Shopify</t>
  </si>
  <si>
    <t>Hacker News Alternative Where People Are Positive About AI</t>
  </si>
  <si>
    <t>Individual reader wants a forum with positive, mature AI discussion instead of Hacker News.</t>
  </si>
  <si>
    <t>"Is it just /r/LLM or something?"</t>
  </si>
  <si>
    <t>Reddit</t>
  </si>
  <si>
    <t>Would you use a fast/cheap "prior art" service instead of a patent?</t>
  </si>
  <si>
    <t>Early-stage startup founders needing cheap, fast IP protection (author is validating own idea).</t>
  </si>
  <si>
    <t>"We're trying to validate if this is truly valuable for early-stage founders." / "Would you consider this a valid alternative to a low-value patent?" / "The core proposition is: for a few hundred dollars, you get a timestamped, public disclosure"</t>
  </si>
  <si>
    <t>Can you help reconcile my first/second-hand LLM Experience with HN's Experience?</t>
  </si>
  <si>
    <t>Software engineer wants discussion to reconcile workplace LLM experience with HN consensus.</t>
  </si>
  <si>
    <t>"I'm concerned about how far off the perspective is toward LLM usage is in my job vs here on HN." / "Can you help reconcile my first/second-hand LLM Experience with HN's Experience?"</t>
  </si>
  <si>
    <t>Orchestrating 5000 Workers Without Distributed Locks: Rediscovering TDMA</t>
  </si>
  <si>
    <t>Engineer sharing a TDMA approach to orchestrating batch workers without distributed locks; no request for help.</t>
  </si>
  <si>
    <t>"I needed to orchestrate 500-5000 batch workers (ML training, ETL) using Go and SQLite.','','','','','',''}" / "Every tutorial said: use etcd, Consul, or ZooKeeper. But why do these processes need to talk to each other at all?" / "Airflow | 300 | 2s | 2-3 | Batch" / "Alternative: 1. Can processes avoid each other? (temporal isolation) 2. Can data be partitioned? (spatial isolation)"</t>
  </si>
  <si>
    <t>Airflow</t>
  </si>
  <si>
    <t>A 3-Layer Cognitive Architecture with Append-Only Provenance and Ethics Gating</t>
  </si>
  <si>
    <t>Solo founder promoting an AI architecture and seeking technical feedback; no stated user problem.</t>
  </si>
  <si>
    <t>"What I'm looking for feedback on: Does signal-based integration scale cleanly, or introduce hidden bottlenecks?" / "Free 3-day trial, plus a demo chat limited to 20 messages per day: https://primordiagi.com"</t>
  </si>
  <si>
    <t>Feedback on a single-shot agent builder ~10 minutes</t>
  </si>
  <si>
    <t>Founder promoting an automation agent builder; no user problem described.</t>
  </si>
  <si>
    <t>"Feedback on a single-shot agent builder ~10 minutes" / "Instead of drag-and-drop flows or if/else trees, you say the outcome once in plain English"</t>
  </si>
  <si>
    <t>Zapier</t>
  </si>
  <si>
    <t>How do small property management teams handle data entry from tenant documents?</t>
  </si>
  <si>
    <t>Small property management teams manually re-enter tenant data from scanned IDs and PDFs into CRMs.</t>
  </si>
  <si>
    <t>"I'm trying to understand how smaller property management teams handle document-heavy workflows."</t>
  </si>
  <si>
    <t>Practical Tips for Gemini 3</t>
  </si>
  <si>
    <t>No problem stated; author shares generic Gemini prompt tips for screenshots, spreadsheets, code, and research.</t>
  </si>
  <si>
    <t>"Turn Any Screenshot into a Structured Note Screenshot (meeting notes/webpage/paper/etc.): Extract key text; Summarize as clear bullet points;" / "Act as a cautious research assistant: "Given a claim, identify likely accurate, questionable, and clearly wrong parts."" / "Suggest 3 charts that best explain the data and describe what each chart should show." / "Practical Tips for Gemini 3"</t>
  </si>
  <si>
    <t>Gemini</t>
  </si>
  <si>
    <t>I spent $900 on AI coding agents in 8 weeks</t>
  </si>
  <si>
    <t>A developer shares a cost analysis of their Cursor AI usage with no stated need.</t>
  </si>
  <si>
    <t xml:space="preserve">"I've asked Sonnet 4.5 (Cursor) to generate some stats based on my cursor CSV file usage.
Here it is the output:" / "Projected Monthly Cost: ~$416 (based on average daily spend of $13.86)" / "I've asked Sonnet 4.5 (Cursor) to generate some stats based on my cursor CSV file usage." / "I spent $900 on AI coding agents in 8 weeks"</t>
  </si>
  <si>
    <t>How do you audit your app for compliance?</t>
  </si>
  <si>
    <t>Engineers need to audit in-app access (e.g. admin history) for SOC 2/ISO compliance evidence.</t>
  </si>
  <si>
    <t>"I'm an engineer in Poland with no compliance background, so if you did an audit for your app in the past"</t>
  </si>
  <si>
    <t>Would you use a CLI tool that turns English into local automation workflows?</t>
  </si>
  <si>
    <t>Founder validating a CLI automation tool; no stated problem of their own.</t>
  </si>
  <si>
    <t>"I'm building Viba: a terminal-first automation tool." / "Looking for early users and collaborators to help build out integrations." / "every Monday at 9am, query Postgres and email the CSV to team@" / "Is this something you'd actually use? What integrations would matter most to you?"</t>
  </si>
  <si>
    <t>cron</t>
  </si>
  <si>
    <t>Kiploks Walk-forward validator that tells if your trading bot will lose money</t>
  </si>
  <si>
    <t>Algo traders deploy overfit backtested strategies and lose money without proper walk-forward validation.</t>
  </si>
  <si>
    <t>"What would you want to see in a tool like this?" / "Kiploks does this automatically:"</t>
  </si>
  <si>
    <t>Startup Analysis 2025: Real Data from 50 Companies (Not AI Fiction)</t>
  </si>
  <si>
    <t>No problem stated; author promotes their BI platform through a startup analysis article.</t>
  </si>
  <si>
    <t>"I got tired of "I analyzed X startups with ChatGPT" posts that are pure fiction, so I did a real analysis with actual data sources." / "Happy to answer questions about methodology or specific findings." / "Tool: Built using DashAI (our BI platform) - uploaded CSV, asked questions in natural language, generated interactive charts." / "Tool: Built using DashAI (our BI platform) - uploaded CSV, asked questions in natural language, generated interactive charts."</t>
  </si>
  <si>
    <t>DashAI</t>
  </si>
  <si>
    <t>Building a full data pipeline client-side</t>
  </si>
  <si>
    <t>No problem stated; author promotes their own client-side data analysis tool.</t>
  </si>
  <si>
    <t>"Datastripes... data analysis as a flow Check it: https://datastripes.com" / "Like ObservableHQ but easier Like Excel but smoother Like Tableau but with no-setup" / "Datastripes... data analysis as a flow Check it: https://datastripes.com"</t>
  </si>
  <si>
    <t>Tableau</t>
  </si>
  <si>
    <t>Professional Time Tracking (For Freelancers and Remote Developers)</t>
  </si>
  <si>
    <t>Author promotes a free VS Code time tracking extension; no problem or ask stated.</t>
  </si>
  <si>
    <t>"Designed especially for freelancers and off-site team members, it provides timestamped and hash-secured work records.'" / "Session-based tracking with ISO-8601 timestamps" / "Everything runs locally — no cloud storage, no privacy risk."</t>
  </si>
  <si>
    <t>Toggl</t>
  </si>
  <si>
    <t>How do you manage skills files?</t>
  </si>
  <si>
    <t>Individual AI users struggling to organize, find, and maintain agent skills files.</t>
  </si>
  <si>
    <t>"How do you find skills, keep them organized, and make sure they actually work?"</t>
  </si>
  <si>
    <t>How do you self-host your apps?</t>
  </si>
  <si>
    <t>Self-hosting developers and small teams wanting simpler deployment and management of their apps.</t>
  </si>
  <si>
    <t>"I was also frustrated by the speed of CI/CD runners." / "I'm looking for feedback from people who selfhost their own environment." / "Docker compose files to describe services - Docker swarm as an orchestrator" / "I'm building a tool to simplify deployment and management and make it feel more like a PaaS."</t>
  </si>
  <si>
    <t>Docker Swarm</t>
  </si>
  <si>
    <t>What was it like for programmers when spreadsheets became ubiquitous?</t>
  </si>
  <si>
    <t>No problem; author asks historical discussion questions about spreadsheets and programmers.</t>
  </si>
  <si>
    <t>"For those of you around when spreadsheets were taking off, what was it like?" / "Was there fear that they would eradicate the need for professionally built software?" / "There have been a lot of attempts to move more of programming to end-users" / "Were there people who brushed them off as just toys?"</t>
  </si>
  <si>
    <t>Is AI the New Spreadsheet?</t>
  </si>
  <si>
    <t>No concrete problem; general discussion about AI tools replacing spreadsheets.</t>
  </si>
  <si>
    <t>"Personally, and anecdotally, my spreadsheet use has dropped immensely since starting to use these tools." / "I wonder how much of that is moving over to things like cowork or codex type apps." / "Spreadsheets became and still are prolific for individuals and teams to create simple" / "Personally, and anecdotally, my spreadsheet use has dropped immensely since starting to use these tools."</t>
  </si>
  <si>
    <t>How are UK sole traders preparing for quarterly tax reporting (MTD)?</t>
  </si>
  <si>
    <t>UK sole traders needing simple quarterly digital record-keeping and submission for Making Tax Digital.</t>
  </si>
  <si>
    <t>"Is there a real gap here, or is this already solved?" / "Are existing tools sufficient?"</t>
  </si>
  <si>
    <t>Xero</t>
  </si>
  <si>
    <t>How have you been tracked validated learning?</t>
  </si>
  <si>
    <t>Startup teams struggle to track validated learning and why they pivoted.</t>
  </si>
  <si>
    <t>"Before I assume that's a common pain, I'd rather hear from people who do this stuff more than I." / "Spreadsheets are a bit clunky, Notion seems overkill for this use case" / "Before I assume that's a common pain, I'd rather hear from people who do this stuff more than I."</t>
  </si>
  <si>
    <t>Notion</t>
  </si>
  <si>
    <t>What I learned building an options portfolio tracker for retail traders</t>
  </si>
  <si>
    <t>Active retail options traders struggle to track multi-leg positions, rolls, ROI and risk accurately.</t>
  </si>
  <si>
    <t xml:space="preserve">"Happy to hear feedback — especially from other options traders.
Link: https://optioneer.io" / "So I started building my own tracker as a side project.
It focuses on:"</t>
  </si>
  <si>
    <t>How do you handle personal finance without giving data to third parties?</t>
  </si>
  <si>
    <t>Privacy-conscious individuals want personal finance tracking without sharing data with third parties.</t>
  </si>
  <si>
    <t>"Curious how HN handles this. Do you: - Use a local tool and accept the setup complexity?" / "Firefly III, Actual Budget with full Docker stack" / "I ended up building my own solution (happy to share if there's interest)"</t>
  </si>
  <si>
    <t>Actual Budget</t>
  </si>
  <si>
    <t>Debug Infrastructure for Silicon R&amp;D</t>
  </si>
  <si>
    <t>Small silicon physical design teams spend long debugging logs by manual grep and spreadsheets.</t>
  </si>
  <si>
    <t>"Physical design methodology is always under massive pressure to converge PPA fast without endless debug loops." / "Vortex is helping small, high-velocity silicon teams cut log analysis &amp; root-cause time by 30–50%" / "Vortex is helping small, high-velocity silicon teams cut log analysis &amp; root-cause time by 30–50%"</t>
  </si>
  <si>
    <t>Don't obsess with security and privacy unless they are your core business</t>
  </si>
  <si>
    <t>No concrete problem; essay arguing against spending time on privacy and security hardening.</t>
  </si>
  <si>
    <t>"Don't obsess with security and privacy unless they are your core business" / "If you want to become rich, you should have laser focus on your core business and sacrifice other things like excellent privacy."}'}]" / "Buying things takes infinitely less time than building things from scratch." / "The cost of privacy is extremely high. You need to be okay with rough edges in your computing environment."}'}]"</t>
  </si>
  <si>
    <t>Is GitHub becoming more and more unstable?</t>
  </si>
  <si>
    <t>Dev team lacks trust in GitHub's inconsistent release and diff behavior.</t>
  </si>
  <si>
    <t>"I'm curious to hear if anyone else has been facing such weird issues with GitHub."</t>
  </si>
  <si>
    <t>Is Opus 4.5 scaring the crap out of you as well?</t>
  </si>
  <si>
    <t>Developer sharing opinions on a new LLM's coding capability; no concrete problem stated.</t>
  </si>
  <si>
    <t xml:space="preserve">"I can now one-shot, or two-shot, slightly significant features.
I still review all commits line by line" / "Am I nuts, or is this like a Sonnet 3.5 level step change?" / "Gemini for search grounding, Opus 4.5 for everything else?" / "the difference in the last few months is blowing my mind and scaring me"</t>
  </si>
  <si>
    <t>Opus 4.5</t>
  </si>
  <si>
    <t>How do you keep up with replies to your posts/comments?</t>
  </si>
  <si>
    <t>HN users who post and comment cannot get notified of replies to their posts.</t>
  </si>
  <si>
    <t>"We recently found hnreplies.com which works great for replies to comments (it does email and RSS)."</t>
  </si>
  <si>
    <t>hnreplies.com</t>
  </si>
  <si>
    <t>Tell HN: 1Password 7 final retirement notice</t>
  </si>
  <si>
    <t>Admin of a team using 1Password 7 faces end of sync support.</t>
  </si>
  <si>
    <t>"Thought a few others might be interested, seems to be a staggered message rollout" / "onward to their brave new world I guess, or in my case motivation to finally get serious about Vaultwarden."</t>
  </si>
  <si>
    <t>Vaultwarden</t>
  </si>
  <si>
    <t>Corporate Disconnect Between "Tokenmaxxing" and Token Optimization</t>
  </si>
  <si>
    <t>Enterprise engineers pressured to use AI agents everywhere while lacking understanding and token cost control.</t>
  </si>
  <si>
    <t>"Is anyone else going through this tug of war? How is it going?"</t>
  </si>
  <si>
    <t>Why aren't wet labs more automated?</t>
  </si>
  <si>
    <t>Curious outsider asking why wet labs lack end-to-end automation; no stated problem.</t>
  </si>
  <si>
    <t>"I am curious if anyone who has experience in wet labs can tell me why" / "I am curious if anyone who has experience in wet labs can tell me"</t>
  </si>
  <si>
    <t>Seeking a Remote Collaborator</t>
  </si>
  <si>
    <t>Software engineer seeking a LATAM-based remote collaborator, likely an identity-proxy arrangement.</t>
  </si>
  <si>
    <t>"I am here to look for a remote collaborator from LATAM region I spent my most career as a software engineer" / "Your work will be non technical, simple and easy for you And you will spend up to 2 hours a week"</t>
  </si>
  <si>
    <t>Need free help on an Industry Project?</t>
  </si>
  <si>
    <t>A program coordinator seeks projects for student volunteers; no software-solvable problem is described.</t>
  </si>
  <si>
    <t xml:space="preserve">"Several undergraduate students from Union College,NY will be coming to the Bay Area from March to June for an Innovation study program.
" / "They are available to help non-paid (pref hybrid or on site) in the areas of Software Engineering" / "Please send inquiries to sfromana@gmail.com, or fill out this interest form"</t>
  </si>
  <si>
    <t>Are we as society going to let LLM companies take all the values?</t>
  </si>
  <si>
    <t>Author worries about societal impacts of LLMs; no concrete product-solvable problem.</t>
  </si>
  <si>
    <t>"I've been trying to imagine what the world will look like if we take LLM to its logical conclusion.【】【】【】【】【】【】【】【】【】【】【】【】【】【】【】【】【】【】【】【】【】【】【】【】【】【】【】【】【】【】【】【】【】【】【】【】【】【】【】【】【】【】【】【】【】【】【】【】【】【】【】【】【】【】【】【】【】【】【】【】【】【】【】【】【】【】【】【】【】【】【】【】【】【】【】【】【】【】【】【】【】【】【】【】【】【】【】【】【】【】【】【】【】【】【】【】【】【】【】【】【】【】【】【】【】【】【】【】【】【】【】【】【】【】【】【】【】【】【】【】【】【】【】【】【】【】【】【】【】【】【】【】【】【】【】【】【】【】【】【】【】【】【】【】【】【】【】【】【】【】【】【】【】【】【】【】【】【】【】【】【】【】【】【】【】【】【】【】【】【】【】【】【】【】【】【】【】【】【】【】【】【】【】【】【】【】【】【】【】【】【】【】【】【】【】【】【】【】【】【】【】【】【】【】【】【】【】【】【】" / "What else? If truly this is the logical conclusion of LLM, then it seems to me" / "I am not that young, but I'm not that old."</t>
  </si>
  <si>
    <t>Stripe closed my UAE business account and is withholding $3.5K</t>
  </si>
  <si>
    <t>UAE business owner whose Stripe account was closed with $3.5K withheld, seeking recourse.</t>
  </si>
  <si>
    <t>"If a balance still remains in your account after all reversals have been processed, it will not be made available to you"</t>
  </si>
  <si>
    <t>Stripe</t>
  </si>
  <si>
    <t>How do you sync or migrate KDE settings?</t>
  </si>
  <si>
    <t>KDE users who set up multiple machines and must reconfigure settings by hand each time.</t>
  </si>
  <si>
    <t>"Some options I've seen: Konsave (https://github.com/Prayag2/konsave); KDE Migrant"</t>
  </si>
  <si>
    <t>Konsave</t>
  </si>
  <si>
    <t>ProjectCLI: The Swiss Army Knife CLI for bootstrapping any project</t>
  </si>
  <si>
    <t>Developers juggling many language-specific project generators when bootstrapping new projects</t>
  </si>
  <si>
    <t>"Setting up a new project often requires learning dozens of commands: create-react-app, cargo new, poetry new, laravel new, etc." / "Hi HN, I built ProjectCLI (@dawitworku/projectcli) — a universal interactive CLI for developers who are tired of juggling multiple project generators." / "Remote templates: clone any GitHub starter kit for instant scaffolding." / "Hi HN, I built ProjectCLI (@dawitworku/projectcli) — a universal interactive CLI for developers who are tired of juggling multiple project generators."</t>
  </si>
  <si>
    <t>cookiecutter</t>
  </si>
  <si>
    <t>Have you noticed an improvement in AI responses with memory disabled?</t>
  </si>
  <si>
    <t>Claude subscriber gets worse high-context responses with memory on and loses project memory when off.</t>
  </si>
  <si>
    <t>"Switching to a new chat and condensing the gist of the discussion into a single new prompt yielded superior results"</t>
  </si>
  <si>
    <t>Claude</t>
  </si>
  <si>
    <t>Anyone using AI to write manual SQL instead of using an ORM?</t>
  </si>
  <si>
    <t>Developers weighing whether AI-written raw SQL should replace ORMs in their projects.</t>
  </si>
  <si>
    <t>"This makes me wonder, when working with AI, is an ORM still worth it?" / "Is anyone having their AI write manual SQL instead of having it work through an ORM?" / "One of the things AI is good at is writing tedious and time consuming "mindless" code" / "I'd love to hear your experiences!"</t>
  </si>
  <si>
    <t>ORM</t>
  </si>
  <si>
    <t>Formatting Guidelines for LLM Comments</t>
  </si>
  <si>
    <t>Developer using coding agents wants consistent code comments across different LLMs without manual cleanup.</t>
  </si>
  <si>
    <t>"What I want is a clean, consistent format with strict guidelines on what, and importantly what not, to comment, that works for all LLMs."</t>
  </si>
  <si>
    <t>system prompt</t>
  </si>
  <si>
    <t>We are building the Flutter equivalent to RN's Ignite CLI</t>
  </si>
  <si>
    <t>Flutter developers face tedious project setup; authors are promoting their own CLI for feedback.</t>
  </si>
  <si>
    <t>"Would be happy to hear any thoughts about the architecture, code, or concept in general." / "Even though there exist some alternatives, our long term vision is to build something like" / "My friend and I are working on a CLI tool called fip-cli in Dart."</t>
  </si>
  <si>
    <t>Ignite CLI</t>
  </si>
  <si>
    <t>How locked down are your work machines?</t>
  </si>
  <si>
    <t>Software engineer frustrated by corporate IT lockdown of machines and extensions.</t>
  </si>
  <si>
    <t>"How big of a company do you work for, what industry, and how locked down is your machine?"</t>
  </si>
  <si>
    <t>What would make you switch from Gmail to self-hosted email?</t>
  </si>
  <si>
    <t>Self-hosted email server author researching barriers to adoption; no personal problem.</t>
  </si>
  <si>
    <t>"what would it actually take for you to self-host? Not trying to convince anyone, genuinely curious about the decision-making here.]]]]" / "Google/Microsoft just works" / "I've been running my own email server for the past month (https://github.com/fenilsonani/email-server)"</t>
  </si>
  <si>
    <t>Google Workspace</t>
  </si>
  <si>
    <t>Looking for software with fair pricing practices</t>
  </si>
  <si>
    <t>Author running a directory project wants nominations of fairly priced software tools.</t>
  </si>
  <si>
    <t>G3 not trivial, G4 author has it</t>
  </si>
  <si>
    <t>"I analyze them manually and create a place for people to find them." / "I am starting a small project to collect tools with fair pricing (no misleading UI, easy cancelation, data export...)."</t>
  </si>
  <si>
    <t>Does anyone believe role-play AI is effective for training?</t>
  </si>
  <si>
    <t>Founders of Socratize seek feedback on their AI role-play training product launch.</t>
  </si>
  <si>
    <t>"Most corporate training is passive. People watch content, click through slides, pass a quiz, and forget most of it within days." / "We built Socratize, an AI-based training tool where employees practice real workplace scenarios instead of watching videos or taking quizzes."</t>
  </si>
  <si>
    <t>Socratize</t>
  </si>
  <si>
    <t>My indie app was named too close to competitors and I burnt my fingers</t>
  </si>
  <si>
    <t>Solo indie developer lost organic traffic after a forced rebrand over trademark conflicts.</t>
  </si>
  <si>
    <t>"Lesson learnt: to be careful not to name your products too close to established products.]]"</t>
  </si>
  <si>
    <t>Would you use alternative to ChatGPT $0 cost and it's better/smarter?</t>
  </si>
  <si>
    <t>Founder polling whether people would use a free ChatGPT alternative; no real problem.</t>
  </si>
  <si>
    <t>"Would you use alternative to ChatGPT $0 cost and it's better/smarter?" / "Assuming it exists? in addition: if it's without phone app just windows app" / "Would you use alternative to ChatGPT $0 cost and it's better/smarter?" / "is this super retro these days and everyone wants iOS and android?"</t>
  </si>
  <si>
    <t>ChatGPT</t>
  </si>
  <si>
    <t>Some Sensible Alternative to Openrouter?</t>
  </si>
  <si>
    <t>Physics teacher wants a simple, reliable, low-volume LLM chatbot service with clear pricing.</t>
  </si>
  <si>
    <t>"I'd need the service to be readily usable i.e., to provide an internal chatbot"</t>
  </si>
  <si>
    <t>Local iOS voice to text app (alternative to Wispr Flow)</t>
  </si>
  <si>
    <t>Heavy dictation users wanting private, local, subscription-free voice-to-text; author is promoting their own app.</t>
  </si>
  <si>
    <t>"So I built an iOS app, a MacOS app and an Android app." / "I am happy to offer the app for free to people who offer useful feedback for the test flight" / "until recently used Wispr Flow on my personal devices" / "I am happy to offer the app for free to people who offer useful feedback for the test flight"</t>
  </si>
  <si>
    <t>Wispr Flow</t>
  </si>
  <si>
    <t>Alternatives to Claude (Code)?</t>
  </si>
  <si>
    <t>Developer seeking better AI coding model and tooling alternatives to Claude Code.</t>
  </si>
  <si>
    <t>"Also looking for nice Opencode plugins, skills, completion providers (alternative to Cursor that I could use with Zen)"</t>
  </si>
  <si>
    <t>Wayland, Pipewire, Open Source Slowly Closing?</t>
  </si>
  <si>
    <t>A hobbyist Linux composer wants a stable distro without Wayland/Pipewire that has MuseScore 2.</t>
  </si>
  <si>
    <t>"Something stable; and wouldn't require too much maintainance... If there is a Arch variation with GUI install that would be the best."</t>
  </si>
  <si>
    <t>Linux distro</t>
  </si>
  <si>
    <t>Instance segmentation model that extracts 3D geometry from 2D floor plans</t>
  </si>
  <si>
    <t>PropTech and virtual staging startups manually enter floor plan geometry data for 3D rendering.</t>
  </si>
  <si>
    <t>"If you are in the PropTech or you are building a product that could benefit from embedding this model, I would love to chat." / "I built this specifically as an extraction engine to sit underneath those UIs."</t>
  </si>
  <si>
    <t>How do you use SAP in the AI age?</t>
  </si>
  <si>
    <t>SAP users without ABAP rights do slow manual queries and mass data entry.</t>
  </si>
  <si>
    <t>"Even for mass data entry I am using Power Automate to record clicks and keystrokes."</t>
  </si>
  <si>
    <t>Power Automate</t>
  </si>
  <si>
    <t>YouTube Comments in .csv</t>
  </si>
  <si>
    <t>Developer promoting a YouTube comments-to-CSV tool, not describing a problem of their own.</t>
  </si>
  <si>
    <t>"please check it out I want feedback: link: https://pelicantools.app/tools/youtube-comments have a good day :)" / "download youtube comments and have them clean and pretty in a spreadsheet" / "hey there, Im developing this tool to download youtube comments and have them clean and pretty in a spreadsheet."</t>
  </si>
  <si>
    <t>Exportcomments</t>
  </si>
  <si>
    <t>Leveraging OPFS in WASM for 10GB+ Data Processing in Datastripes</t>
  </si>
  <si>
    <t>Product announcement by Datastripes team; no one describes a problem needing a solution.</t>
  </si>
  <si>
    <t>"Thus, we must suggest OPFS as the core of any data intensive client-side systems!" / "We just shipped a major architectural upgrade: our Datastripes database core (compiled to WASM)"</t>
  </si>
  <si>
    <t>Open source AI diagram generator (Draw.io, Mermaid)</t>
  </si>
  <si>
    <t>Developer launching an open-source AI diagram tool, not stating a personal problem.</t>
  </si>
  <si>
    <t>"most AI diagramming tools generate static images (PNG/JPG). If the AI gets one detail wrong, you can't easily fix it" / "I'd love to hear your feedback or see your PRs!" / "I wanted a tool that generates editable code and renders it interactively. So I built DeepDiagram."</t>
  </si>
  <si>
    <t>Mermaid</t>
  </si>
  <si>
    <t>Built a local-first crypto P&amp;L and TurboTax Online export tool (open source)</t>
  </si>
  <si>
    <t>Crypto traders struggling to import accurate transaction data into TurboTax Online for taxes.</t>
  </si>
  <si>
    <t>"I ran into a lot of issues getting accurate crypto transaction data into TurboTax Online this year" / "Sharing in case it's useful to anyone else dealing with the same mess" / "I ended up building a small open-source tool that: computes FIFO cost basis locally" / "I ended up building a small open-source tool that: computes FIFO cost basis locally"</t>
  </si>
  <si>
    <t>Koinly</t>
  </si>
  <si>
    <t>Why do editors still struggle with long lines?</t>
  </si>
  <si>
    <t>Developers editing CSVs or minified files with very long lines see sluggish editors.</t>
  </si>
  <si>
    <t>"Why do editors still struggle with long lines?" / "I was recently working with a csv with 50 columns, and each value was a bit long."</t>
  </si>
  <si>
    <t>How do you manage your digital legacy for after you die?</t>
  </si>
  <si>
    <t>An individual planning digital estate access for his wife after his death.</t>
  </si>
  <si>
    <t>"I have password manager, so I pass this to my wife it can be easy to reach the profiles"</t>
  </si>
  <si>
    <t>password manager</t>
  </si>
  <si>
    <t>Bloggers, how do you manage your content?</t>
  </si>
  <si>
    <t>Aspiring personal blogger wants a WYSIWYG writing workflow on a self-hosted site with custom styling.</t>
  </si>
  <si>
    <t>"I think Substack is a good option, but I would like more control over styling"</t>
  </si>
  <si>
    <t>Ghost</t>
  </si>
  <si>
    <t>How do you manage too many open tabs?</t>
  </si>
  <si>
    <t>Browser users with too many open tabs and windows</t>
  </si>
  <si>
    <t>"We all have many open windows and tabs."</t>
  </si>
  <si>
    <t>OneTab</t>
  </si>
  <si>
    <t>How do you manage distribution after building?</t>
  </si>
  <si>
    <t>A solo builder with a finished app doesn't know how to find users or validate demand.</t>
  </si>
  <si>
    <t>"I built a slack message to code-fix app, so that you just paste the slack message"</t>
  </si>
  <si>
    <t>How do you manage integrations at scale?</t>
  </si>
  <si>
    <t>Teams managing growing numbers of system integrations; author only curious, no stated problem.</t>
  </si>
  <si>
    <t>"at what point did it become a real problem for you?" / "Curious how teams handle integrations as they grow and start relying on multiple systems" / "Curious how teams handle integrations as they grow and start relying on multiple systems"</t>
  </si>
  <si>
    <t>How do you manage secrets with many agents?</t>
  </si>
  <si>
    <t>Developer running multiple AI coding agents in separate project clones cannot keep secrets in sync.</t>
  </si>
  <si>
    <t>"There HAS to be a solution for this and symlinking key file to ../secrets doesn't work"</t>
  </si>
  <si>
    <t>Doppler</t>
  </si>
  <si>
    <t>How do you manage cloud access for your team without a VPN?</t>
  </si>
  <si>
    <t>Small team lead needs cloud access control without VPN overhead or brittle static IP whitelists.</t>
  </si>
  <si>
    <t>"I'm building in this space and want to understand real-world approaches before assuming my solution is the right one."}]"</t>
  </si>
  <si>
    <t>How do you manage the gap between team chat and real work?</t>
  </si>
  <si>
    <t>Founder of a small dev team loses tasks between Slack decisions and Notion pages.</t>
  </si>
  <si>
    <t>"conversations happen in one place, tasks live in another, and there's no connection between them"</t>
  </si>
  <si>
    <t>How do you manage your startup's?</t>
  </si>
  <si>
    <t>Founders lacking an operations manager juggle multiple tools; post is a promotion.</t>
  </si>
  <si>
    <t>"We are giving Free Access To Kobin Ai" / "tired of switching between tab's and paying for multiple tool's" / "We are giving Free Access To Kobin Ai to people"</t>
  </si>
  <si>
    <t>How do you manage curl commands in your workflow?</t>
  </si>
  <si>
    <t>Developers who reuse curl commands across auth and environments (author is only researching).</t>
  </si>
  <si>
    <t>"I'm exploring curl automation and curious about developer pain points." / "Would an AI curl assistant be useful? Appreciate any insights!" / "Do you save/reuse curl commands?" / "I'm exploring curl automation and curious about developer pain points."</t>
  </si>
  <si>
    <t>Postman</t>
  </si>
  <si>
    <t>Have you managed to switch to Bluesky for tech people?</t>
  </si>
  <si>
    <t>A tech professional wants a quality social feed of tech personalities outside X.</t>
  </si>
  <si>
    <t>"I tried to signup to Bluesky, but there are not a lot of my favorite tech personalities"</t>
  </si>
  <si>
    <t>Bluesky</t>
  </si>
  <si>
    <t>How do you handle payments for AI agents?</t>
  </si>
  <si>
    <t>Developers building AI agents that call APIs need billing, spending limits, and usage tracking.</t>
  </si>
  <si>
    <t>"If you're building AI agents that call APIs: How do you manage:"</t>
  </si>
  <si>
    <t>What tools do you wish existed?</t>
  </si>
  <si>
    <t>No specific problem; author polls for general tool ideas people would pay for.</t>
  </si>
  <si>
    <t>"Is there a tool out there for anyone, that doesn't already exist, that you would pay for?" / "What tools do you wish existed?" / "Is there a tool out there for anyone, that doesn't already exist, that you would pay for?"</t>
  </si>
  <si>
    <t>Where does operational truth live before it reaches "systems of record"?</t>
  </si>
  <si>
    <t>Quality and ops teams in asset-heavy industries struggle to reconstruct events from scattered notes, photos, and emails.</t>
  </si>
  <si>
    <t>"Would appreciate any firsthand experiences or counterexamples." / "I’m not selling anything or looking to promote a tool."</t>
  </si>
  <si>
    <t>How do you think about financial runway before quitting?</t>
  </si>
  <si>
    <t>Individual considering a job change wants clarity on financial runway under different scenarios.</t>
  </si>
  <si>
    <t>"Do you run detailed spreadsheets? Do you assume a conservative burn rate?" / "I am exploring this problem and building something simple around scenario based runway calculations"</t>
  </si>
  <si>
    <t>Test Management as Code (TMaC): Is This the Next Shift After Everything as Code?</t>
  </si>
  <si>
    <t>Test teams manage plans and traceability in spreadsheets instead of version-controlled code.</t>
  </si>
  <si>
    <t>"What if test plans, traceability, risk mapping, and coverage were defined version controlled like code?" / "So why is test management still stuck in spreadsheets and external tools?" / "Is This the Next Shift After Everything as Code?"</t>
  </si>
  <si>
    <t>Thinking out loud AI and Cancer Cure</t>
  </si>
  <si>
    <t>Casual poster musing why AI hasn't cured cancer; no actual business problem.</t>
  </si>
  <si>
    <t>"call to the super geniuses who are also scientists please find a cure!!" / "I use my AI good for making dashboards and looking at spreadsheets" / "Anyone else ever think how every week there's another article and news story about how advanced AI is getting"</t>
  </si>
  <si>
    <t>What do you ask AI to do with your files?</t>
  </si>
  <si>
    <t>Researcher surveying non-coders about AI file tasks; no problem of their own stated.</t>
  </si>
  <si>
    <t>"What was the last multi-step task you gave AI involving your files? Did you get what you wanted?" / "I'm researching how people who don't code use AI tools for multi-step work on their actual files" / "I'm researching how people who don't code use AI tools for multi-step work on their actual files"</t>
  </si>
  <si>
    <t>How do you compare cloud and AI costs across providers?</t>
  </si>
  <si>
    <t>Cloud and AI teams cannot easily compare what a workload would cost across providers.</t>
  </si>
  <si>
    <t>"Curious how people here handle this today. Do you rely on internal tooling, spreadsheets, or something else?"</t>
  </si>
  <si>
    <t>Turned a simple idea with friends into an actual app</t>
  </si>
  <si>
    <t>University students wanting to rank food spots with friends; author is promoting their own app.</t>
  </si>
  <si>
    <t>"If this sounds fun or useful, I'd love if you checked it out → getcravit.com Any feedback is super appreciated!" / "we ended up creating random notes, spreadsheets, IG saves… nothing that made the experience fun or organized."</t>
  </si>
  <si>
    <t>Can a node-based data flow engine be a new way of doing analysis?</t>
  </si>
  <si>
    <t>Founders promoting a node-based data analysis tool; no stated user problem.</t>
  </si>
  <si>
    <t>"Can a node-based data flow engine be a new way of doing analysis?" / "We're all accustomed to data analysis done on spreadsheets or through code." / "We tried to experiment, focusing entirely on privacy and ease of use"</t>
  </si>
  <si>
    <t>Are there any developers prefer writing code manually?</t>
  </si>
  <si>
    <t>A developer feels AI-assisted coding reduces enjoyment and code understanding.</t>
  </si>
  <si>
    <t>"Do you guys have the same issue?" / "it's taking the joy of coding away"</t>
  </si>
  <si>
    <t>Do you still trace new codebases manually?</t>
  </si>
  <si>
    <t>Developers dropping into large unfamiliar codebases struggle to build a detailed mental model of execution flow.</t>
  </si>
  <si>
    <t>"I usually ask an LLM to map out a feature and give me a tour"</t>
  </si>
  <si>
    <t>Sourcegraph</t>
  </si>
  <si>
    <t>There are 67 items to manually delete in Google My-Activity</t>
  </si>
  <si>
    <t>A Google user must manually delete activity across 67 separate places.</t>
  </si>
  <si>
    <t>"Why is there no one button to delete my activity?" / "Why is there no one button to delete my activity?"</t>
  </si>
  <si>
    <t>Google My Activity auto-delete</t>
  </si>
  <si>
    <t>How Containers Work: Building Container Networking from Scratch</t>
  </si>
  <si>
    <t>Author shares a tutorial and seeks feedback; no stated problem.</t>
  </si>
  <si>
    <t>"Instead of treating container networking as a black box" / "I wrote a deep dive on how container networking actually works"</t>
  </si>
  <si>
    <t>Docker</t>
  </si>
  <si>
    <t>Tell HN: AI lies about having sandbox guardrails</t>
  </si>
  <si>
    <t>Developers using AI coding agents get misleading claims about sandbox guardrails that are not enforced.</t>
  </si>
  <si>
    <t>"Of course devs should not buy false senses of security from llms."</t>
  </si>
  <si>
    <t>Why is Slack allowed to get away with lying?</t>
  </si>
  <si>
    <t>Slack user frustrated by delayed messages and a status page claiming 100% uptime.</t>
  </si>
  <si>
    <t>"This shouldn't be allowed."</t>
  </si>
  <si>
    <t>Strangest or most unexpected behavior you've seen from GitHub Copilot?</t>
  </si>
  <si>
    <t>Developer shares an amusing Copilot ask-mode hallucination; no real need or ask stated.</t>
  </si>
  <si>
    <t>"I had to remind it was in Ask mode and then it apologized." / "Strangest or most unexpected behavior you've seen from GitHub Copilot?" / "Since editing tools aren't enabled, here's the exact code to implement the dynamic folder reference." / "I was just in ask mode and asked GitHub Copilot (w/Grok code) to update a Docker file"</t>
  </si>
  <si>
    <t>GitHub Copilot</t>
  </si>
  <si>
    <t>Tell HN: Instagram Web has been broken for weeks</t>
  </si>
  <si>
    <t>Instagram web users cannot open shared Reel links; platform bug unresolved for weeks.</t>
  </si>
  <si>
    <t>"The only workaround is to manually change the link to `/p/{post_id}` and open it as a post"</t>
  </si>
  <si>
    <t>workaround</t>
  </si>
  <si>
    <t>Is Antigravity code search dropping results recently?</t>
  </si>
  <si>
    <t>A developer using Antigravity code search gets incomplete results, missing call sites.</t>
  </si>
  <si>
    <t>"The code that actually called the function was completely missing."</t>
  </si>
  <si>
    <t>Antigravity</t>
  </si>
  <si>
    <t>Tell HN: YouTube history setting privacy implications</t>
  </si>
  <si>
    <t>YouTube viewers whose auto-delete setting skips likes, dislikes and comments.</t>
  </si>
  <si>
    <t>"One has to manually go https://myactivity.google.com/page?page=youtube_comment_likes to delete Your Likes and Dislikes on YouTube" / "One has to manually go https://myactivity.google.com/page?page=youtube_comment_likes to delete Your Likes and Dislikes on YouTube"</t>
  </si>
  <si>
    <t>Google My Activity</t>
  </si>
  <si>
    <t>What's the most boring/frustrating/tedious part of your day?</t>
  </si>
  <si>
    <t>No specific problem; author is polling others about tedious parts of their day.</t>
  </si>
  <si>
    <t>"What's the most boring/frustrating/tedious part of your day?" / "Have you looked into alternatives?" / "What makes it the most boring/frustrating/tedious part?"</t>
  </si>
  <si>
    <t>Have LLMs made anyone's life substantially better?</t>
  </si>
  <si>
    <t>Software engineer frustrated by AI-driven workload, job insecurity, and declining code quality.</t>
  </si>
  <si>
    <t>"Have LLMs made anyone's life substantially better?"</t>
  </si>
  <si>
    <t>Where are the innovations happening today?</t>
  </si>
  <si>
    <t>Curious reader wants to know where tech innovation is happening outside AI hype.</t>
  </si>
  <si>
    <t>"What great products are being built we're not hearing about?" / "Where are the innovations happening today?"</t>
  </si>
  <si>
    <t>Suggest HN: Change posting rules to reduce bot spam</t>
  </si>
  <si>
    <t>Hacker News users and moderators face bot spam flooding the New submissions page.</t>
  </si>
  <si>
    <t>"this rule can be implemented very quickly, so easy to do once it becomes unbearable"</t>
  </si>
  <si>
    <t>Flag/gray out comments complaining about AI/LLM use in posts/comments?</t>
  </si>
  <si>
    <t>A forum user is annoyed by repetitive comments complaining about AI-generated content.</t>
  </si>
  <si>
    <t>"Flag/gray out comments complaining about AI/LLM use in posts/comments?" / "Flag/gray out comments complaining about AI/LLM use in posts/comments?"</t>
  </si>
  <si>
    <t>flagging</t>
  </si>
  <si>
    <t>Termux vs. Terminal on Pixel 10</t>
  </si>
  <si>
    <t>Android user finds the native Terminal app crashes and has poor display output on Pixel 10.</t>
  </si>
  <si>
    <t>"Hoping with Android 17 launch, it gets better. Care to share your experience?" / "while termux is performing amazing, like natively opening the browser for auth, speed etc."</t>
  </si>
  <si>
    <t>Termux</t>
  </si>
  <si>
    <t>How did you improve agent's output readability?</t>
  </si>
  <si>
    <t>Developers using Claude agents find its output hard to read and want better prompting fixes.</t>
  </si>
  <si>
    <t>"Asking it to use ASD-STE100 improved things a bit but it's still not perfect."</t>
  </si>
  <si>
    <t>CLAUDE.md</t>
  </si>
  <si>
    <t>Sick of waiting for agents to run and then having to debug</t>
  </si>
  <si>
    <t>Engineers using Claude Code wait on agents and manually verify pre-production E2E results.</t>
  </si>
  <si>
    <t>"I have setup rules to do this and it works to an extent"</t>
  </si>
  <si>
    <t>Navigating the filesystem and Git with single key presses</t>
  </si>
  <si>
    <t>Termux Android user finds typing Linux and git commands tedious on a phone.</t>
  </si>
  <si>
    <t>"If you know of any other utilities like this, would love to hear about them." / "I've been using this Python script to make common filesystem and git operations available at single key presses" / "I've been using this Python script to make common filesystem and git operations available at single key presses"</t>
  </si>
  <si>
    <t>git-menu</t>
  </si>
  <si>
    <t>Open Game Development</t>
  </si>
  <si>
    <t>Live service game developers face tedious maintenance-stage content updates while players want more content.</t>
  </si>
  <si>
    <t>"I believe the solution is an open model of game development." / "I believe the solution is an open model of game development."</t>
  </si>
  <si>
    <t>The Nobility of the Composing Stick</t>
  </si>
  <si>
    <t>No concrete problem; an editor's satirical opinion piece defending hand-set typesetting against rotary presses.</t>
  </si>
  <si>
    <t>"Rest easy, gentlemen. As long as I draw breath, we will not pivot to "Steam-Publishing."=" / "Back to the cases, lads. The future is manual.=" / "Speed is the enemy of Truth." / "Let the rabble have their steam.="</t>
  </si>
  <si>
    <t>Any tools for managing multi Claude Code instances?</t>
  </si>
  <si>
    <t>Developer running ~10 Claude Code instances must manually reopen and resume each after a restart.</t>
  </si>
  <si>
    <t>"1. Open iTerm 2. cd to paths 3. type claude 4. /resume 5. select"</t>
  </si>
  <si>
    <t>tmux</t>
  </si>
  <si>
    <t>Would you fly on a Boeing 737 MAX?</t>
  </si>
  <si>
    <t>Anxious flyer afraid of boarding a Boeing 737 MAX seeking others' opinions.</t>
  </si>
  <si>
    <t>"Perhaps I'm behaving irrationally due to fear, but with all the news surrounding Boeing's quality control"</t>
  </si>
  <si>
    <t>Railtracks</t>
  </si>
  <si>
    <t>Developer promoting an open-source agent framework, seeking design feedback on state management and observability.</t>
  </si>
  <si>
    <t>"So I built Railtracks. It’s an open-source Python library designed to build complex agents entirely in Python.','" / "I’d love for you to break Railtracks and tell me what’s wrong with the design.'" / "I absolutely loved the concept of a layer that handles the orchestration and plumbing of agentic flows" / "So I built Railtracks. It’s an open-source Python library designed to build complex agents entirely in Python.'"</t>
  </si>
  <si>
    <t>LangGraph</t>
  </si>
  <si>
    <t>Which LLM has the best "study and learn" functionality?</t>
  </si>
  <si>
    <t>Individual learner seeking the best LLM for AI tutoring and study.</t>
  </si>
  <si>
    <t>"I've settled on Claude for the moment but, I'm wondering if anyone has done extensive tutoring"</t>
  </si>
  <si>
    <t>What if users start cloning SaaS using AI</t>
  </si>
  <si>
    <t>General discussion about AI cloning threatening SaaS businesses; no specific person with a problem.</t>
  </si>
  <si>
    <t>"There is a trend that is just starting: People are cloning softwares and websites using Ai(fable 5 is doing great)" / "what do you think what things would protect businesses from this in future?" / "if i can clone smth easily using ai, why i would pay for it?"</t>
  </si>
  <si>
    <t>Ergo wireless keyboard with mouse for coding?</t>
  </si>
  <si>
    <t>Individual coder seeking an out-of-box wireless ergo keyboard with built-in mouse.</t>
  </si>
  <si>
    <t>"I was looking at the cybord imprint [1] and the kinese advantage 360 [2]"</t>
  </si>
  <si>
    <t>Cyboard Imprint</t>
  </si>
  <si>
    <t>Alternatives to Clay for Enrichment?</t>
  </si>
  <si>
    <t>Sales prospector finds Clay enrichment credits too expensive for emails, tech stack, and hiring signals.</t>
  </si>
  <si>
    <t>"I saw some show hns for clay alternatives awhile ago"</t>
  </si>
  <si>
    <t>Apollo</t>
  </si>
  <si>
    <t>How do you use AI coding harnesses for individual development?</t>
  </si>
  <si>
    <t>Indie developers unsure how to compare flat-plan versus API costs for AI coding tools.</t>
  </si>
  <si>
    <t>"I use humanlayer which uses the claude code go binary with the max/pro plan. My costs are capped."</t>
  </si>
  <si>
    <t>Would you use Hive-simpler AI agents?</t>
  </si>
  <si>
    <t>Small teams find existing AI agent platforms too expensive and complex.</t>
  </si>
  <si>
    <t>"Existing platforms are too expensive and complex for small teams." / "Would you use this? Feedback appreciated."</t>
  </si>
  <si>
    <t>Which cloud service to use for overpass API?</t>
  </si>
  <si>
    <t>Hobbyist developer needs cheap cloud hosting for an 80GB Overpass API instance.</t>
  </si>
  <si>
    <t>"what cloud service is best to use for testing purposes?"</t>
  </si>
  <si>
    <t>AWS</t>
  </si>
  <si>
    <t>What's the best alternative to Dragon NaturallySpeaking?</t>
  </si>
  <si>
    <t>A Windows user wants voice control software to replace Dragon NaturallySpeaking.</t>
  </si>
  <si>
    <t>"Looking for windows software that replaces the need for keyboard and mouse and lets me control Windows"</t>
  </si>
  <si>
    <t>Windows Voice Access</t>
  </si>
  <si>
    <t>Alternative to Internet Archive</t>
  </si>
  <si>
    <t>Independent musician needs free, unlimited, easy bulk hosting for albums, books, and films, replacing flaky Internet Archive.</t>
  </si>
  <si>
    <t>"I would simply P2P my music on nicotine+ or even have a server for my music."</t>
  </si>
  <si>
    <t>Bandcamp</t>
  </si>
  <si>
    <t>European alternative to Vercel/Cloudflare for hosting</t>
  </si>
  <si>
    <t>A developer wants a European-based Vercel/Cloudflare-like hosting and CDN provider.</t>
  </si>
  <si>
    <t>"I’m looking for a hosting/CDN solution that’s similar to Vercel or Cloudflare Pages/Workers"</t>
  </si>
  <si>
    <t>Hetzner</t>
  </si>
  <si>
    <t>How long until solid decentralized alternative to Instagram?</t>
  </si>
  <si>
    <t>General social media users wanting a decentralized Instagram alternative with more adoption.</t>
  </si>
  <si>
    <t>"Any thoughts on main blockers and near-to-medium future developments on this matter?" / "I know about Pixelfed, but it doesn't seem to have gained much traction." / "I feel like the world very much needs a decentralized, censorship-free alternative to Instagram."</t>
  </si>
  <si>
    <t>Pixelfed</t>
  </si>
  <si>
    <t>Is there any good open-source alternative to MinIO?</t>
  </si>
  <si>
    <t>Self-hosting user needs an open-source S3-compatible storage replacing MinIO.</t>
  </si>
  <si>
    <t>"something that does the same, but more friendly to FOSS, would be great!"</t>
  </si>
  <si>
    <t>Garage</t>
  </si>
  <si>
    <t>Is there a better alternative to email?</t>
  </si>
  <si>
    <t>Teams lose important email threads as new messages bury older content.</t>
  </si>
  <si>
    <t>"Is there a better alternative to email?"</t>
  </si>
  <si>
    <t>Slack</t>
  </si>
  <si>
    <t>Kamunity.com (.eu .se) European alternative to Reddit</t>
  </si>
  <si>
    <t>Author promoting a European Reddit alternative; no concrete user problem or request stated.</t>
  </si>
  <si>
    <t>"How important is it to you that the platforms you participate in are European" / "Kamunity.eu is an experiment in that direction: a community platform built in Europe, for Europeans"</t>
  </si>
  <si>
    <t>Ask: What's the SSL gateway alternative to CF?</t>
  </si>
  <si>
    <t>Someone needs an SSL termination gateway alternative to Cloudflare with ACME and subdomain proxying.</t>
  </si>
  <si>
    <t>"automatic ACME certificate rollover and HTTP reverse-proxy rules per subdomain"</t>
  </si>
  <si>
    <t>Caddy</t>
  </si>
  <si>
    <t>What self-hosted apps do you use daily?</t>
  </si>
  <si>
    <t>No problem; a homelab hobbyist asking others for favorite self-hosted apps.</t>
  </si>
  <si>
    <t>"I'm super curious to hear about the apps you can't live without!" / "I'm super curious to hear about the apps you can't live without!" / "Shlink: URL shortener/redirects, alternative to Bitly Vaultwarden: open source Bitwarden server" / "I've been running a homelab for many years now and tried out many open source projects."</t>
  </si>
  <si>
    <t>Shlink</t>
  </si>
  <si>
    <t>Alternatives to Fail2ban?</t>
  </si>
  <si>
    <t>Sysadmin wants a single-binary ssh brute-force blocker instead of fail2ban.</t>
  </si>
  <si>
    <t>"blocking dictionary attacks against ssh is all I need."</t>
  </si>
  <si>
    <t>sshguard</t>
  </si>
  <si>
    <t>How do you market Open Source Software?</t>
  </si>
  <si>
    <t>A software team going open source needs marketing to reach its target market.</t>
  </si>
  <si>
    <t>"We are planning to move our software from closed to open source"</t>
  </si>
  <si>
    <t>Interesting topics to research around online advertisement?</t>
  </si>
  <si>
    <t>A master's student needs a thesis topic in online advertising research.</t>
  </si>
  <si>
    <t>"I am soon writing a Master's thesis, and I am looking for ideas for interesting research avenues" / "I am soon writing a Master's thesis, and I am looking for ideas for interesting research avenues"</t>
  </si>
  <si>
    <t>What's a good format to submit CSV data for LLMs?</t>
  </si>
  <si>
    <t>Individual wants to feed 1000 CSV rows to an LLM for trend analysis without token bloat.</t>
  </si>
  <si>
    <t>"I need to submit like 1000 rows of data to an llm so I can ask it for trends"</t>
  </si>
  <si>
    <t>Pandas to Polars migration, from 200s timeouts to under 4s. Anyone else?</t>
  </si>
  <si>
    <t>Developer of a CSV cleaning project seeking migration edge-case experiences with Polars</t>
  </si>
  <si>
    <t>"Has anyone else made this migration in a production app?" / "After migrating to Polars and adding in-memory DataFrame caching" / "I built a small project that cleans CSV files for ML and data analysis."</t>
  </si>
  <si>
    <t>Polars</t>
  </si>
  <si>
    <t>Is archive.org a good place for structured data?</t>
  </si>
  <si>
    <t>Dataset creator wants a permanent, authoritative home for a curated CSV/JSON dataset.</t>
  </si>
  <si>
    <t>"Could archive.org be thought of as a place for raw assembled/authoritative data"</t>
  </si>
  <si>
    <t>archive.org</t>
  </si>
  <si>
    <t>LM Studio Bionic with Python?</t>
  </si>
  <si>
    <t>LM Studio user cannot install pandas in Bionic's embedded Python to analyze CSVs.</t>
  </si>
  <si>
    <t>"If you can't even analyze CSV files, what good is this?" / "there is no way to even install pandas"</t>
  </si>
  <si>
    <t>pandas</t>
  </si>
  <si>
    <t>How do you manage quality when AI write code faster than humans can review it?</t>
  </si>
  <si>
    <t>Engineering team lead struggling to keep code quality as AI-generated code outpaces human review.</t>
  </si>
  <si>
    <t>"How do you manage quality when AI write code faster than humans can review it?"</t>
  </si>
  <si>
    <t>GitHub Copilot code review</t>
  </si>
  <si>
    <t>How do you manage your child's screen time?</t>
  </si>
  <si>
    <t>Single parent wants guidance and enforcement for a teenager's screen time.</t>
  </si>
  <si>
    <t>"I’m finding Apple’s parental controls leave a lot to be desired."</t>
  </si>
  <si>
    <t>Apple Screen Time</t>
  </si>
  <si>
    <t>How do you manage context window?</t>
  </si>
  <si>
    <t>Claude Code users want to carry session context forward without burning tokens.</t>
  </si>
  <si>
    <t>"so i made an MCP server that does session recap through different models, and spits back a small summary to keep things on track."</t>
  </si>
  <si>
    <t>How do you manage knowledge you accumulate as a developer?</t>
  </si>
  <si>
    <t>Developers cannot retrieve their own written notes and past solutions via keyword search.</t>
  </si>
  <si>
    <t>"Notion, Obsidian, plain files, GitHub wikis, Confluence — all have the same issue: search is keyword-based" / "I've talked to ~20 developers over the past week and the pattern I keep seeing is:"</t>
  </si>
  <si>
    <t>How do you manage dev/PR/staging databases?</t>
  </si>
  <si>
    <t>Unclear; developers managing dev/PR/staging databases, author only polls others</t>
  </si>
  <si>
    <t>"Do you use e.g. pg_dump/restore? What's your DB size &amp; team size?" / "Is it working fine? Any pain points?" / "Do you use e.g. pg_dump/restore?"</t>
  </si>
  <si>
    <t>pg_dump</t>
  </si>
  <si>
    <t>How do you manage content for React-based websites?</t>
  </si>
  <si>
    <t>Developer curious about content management stacks for React sites; no concrete problem stated.</t>
  </si>
  <si>
    <t xml:space="preserve">"I've been exploring modern publishing workflows for React applications.
Curious how others solve:" / "Curious how others solve: - content management - editors - frontend separation - deployment What is your current stack?" / "content management - editors - frontend separation - deployment" / "I've been exploring modern publishing workflows for React applications."</t>
  </si>
  <si>
    <t>Contentful</t>
  </si>
  <si>
    <t>How do you do CI/CD in 2025?</t>
  </si>
  <si>
    <t>Unspecified author asking general discussion about CI/CD tooling practices.</t>
  </si>
  <si>
    <t>"How do you manage deploying to different environments? How do you implement artifacts versioning?" / "What tools and platforms are you using?" / "What tools and platforms are you using?" / "Also having some context would be interesting, e.g. company and team size."</t>
  </si>
  <si>
    <t>GitHub Actions</t>
  </si>
  <si>
    <t>What is the best way to preserve, and continue to use chats in Claude?</t>
  </si>
  <si>
    <t>Individual Claude users lose chats and cannot reliably archive, search, or resume conversations.</t>
  </si>
  <si>
    <t>"I have now looked around and find all kinds of ways to save the chats locally or on online services."</t>
  </si>
  <si>
    <t>Claude data export</t>
  </si>
  <si>
    <t>Are you paying for Lovable / Replit / Base44?</t>
  </si>
  <si>
    <t>Author researching how people use AI app builders and handle hosting after moving elsewhere.</t>
  </si>
  <si>
    <t>"Mostly I have seen people move to Claude/Codex post first mockups on these apps but how do you manage hosting in that case?" / "If yes, could you share whether you are using it to build mockups or have built products and have paid customers." / "Where do you see the future of these apps going?"</t>
  </si>
  <si>
    <t>Git branching strategy when using multiple CLIs running multiple agents?</t>
  </si>
  <si>
    <t>Developers running multiple AI coding agents concurrently on one repo struggle with branching and conflicts.</t>
  </si>
  <si>
    <t>"How do you manage git branching and asynchronous changes happening when running multiple terminal windows"</t>
  </si>
  <si>
    <t>git worktree</t>
  </si>
  <si>
    <t>Why haven't volumetric displays taken off?</t>
  </si>
  <si>
    <t>No one; a curious observer asks why volumetric displays have not gone mainstream.</t>
  </si>
  <si>
    <t>"But I'm curious why hasn't this stuff taken off?" / "Is anyone on HN working on this stuff or seen anything interesting in volumetric display tech?"</t>
  </si>
  <si>
    <t>How do you handle oncall at 15-30 engineers?</t>
  </si>
  <si>
    <t>Series A/B engineering teams losing oncall time to bug routing and poor bug context.</t>
  </si>
  <si>
    <t>"I'm doing research on how oncall breaks down as engineering teams scale"</t>
  </si>
  <si>
    <t>How are you managing MCP servers across a team?</t>
  </si>
  <si>
    <t>Small NGO CTO needs a cheap MCP gateway aggregating Slack, Drive, Asana for team.</t>
  </si>
  <si>
    <t>"Cloudflare MCP Server Portals: So far it looks like the best option. Still trying it out."</t>
  </si>
  <si>
    <t>Cloudflare MCP Server Portals</t>
  </si>
  <si>
    <t>Could online services "flood the zone" of compromised password lists?</t>
  </si>
  <si>
    <t>A hypothetical question about poisoning leaked password lists; no specific party has a stated problem.</t>
  </si>
  <si>
    <t>"Could online services "flood the zone" of compromised password lists?" / "Is there a ratio of fake passwords to real ones that would result in a brute force attack" / "What if a majority of online services agreed to all create a lot of fake user profiles"</t>
  </si>
  <si>
    <t>Is there a good open-source alternative to Adobe Acrobat?</t>
  </si>
  <si>
    <t>Individual wanting a free PDF tool to edit pages, sign, and fill forms.</t>
  </si>
  <si>
    <t>"have functionality to remove pages, add pages, sign, and edit forms."</t>
  </si>
  <si>
    <t>PDFsam</t>
  </si>
  <si>
    <t>Alternative to Proton Mail?</t>
  </si>
  <si>
    <t>Individual user needs reliable email hosting with custom domains, PGP/S/MIME, and IMAP after Proton outages.</t>
  </si>
  <si>
    <t>"Custom domains. Ideally I would like all messages to a particular domain routed to my in-home server"</t>
  </si>
  <si>
    <t>What are alternative to Upwork for side gig?</t>
  </si>
  <si>
    <t>A freelance software developer needs a better platform than Upwork to find side-gig clients.</t>
  </si>
  <si>
    <t>"What are the better platform out there for side gig?"</t>
  </si>
  <si>
    <t>Freelancer.com</t>
  </si>
  <si>
    <t>TCNs as Alternative to Transformers?</t>
  </si>
  <si>
    <t>Hobbyist ML experimenter sharing notes on transformer alternatives; no concrete problem or request.</t>
  </si>
  <si>
    <t>"over the last months I've experimented with many alternatives to transformers, such as one i created github repo about:" / "over the last months I've experimented with many alternatives to transformers, such as one i created github repo about:"</t>
  </si>
  <si>
    <t>"Show HN" " alternative to dark matter, tested across galaxy to cosmic scales"</t>
  </si>
  <si>
    <t>Author promotes a cosmology theory; no software problem is stated.</t>
  </si>
  <si>
    <t>"alternative to dark matter, tested across galaxy to cosmic scales" / "Runnable code testing the empirical claims (real public SPARC data, real equations, no per-galaxy tuning)" / "alternative to dark matter, tested across galaxy to cosmic scales"</t>
  </si>
  <si>
    <t>If browsers had an alternative to JavaScript, what would that be?</t>
  </si>
  <si>
    <t>Web developers frustrated with JavaScript's pitfalls wanting a stricter alternative language in browsers.</t>
  </si>
  <si>
    <t>"If browsers had an alternative to JavaScript, what would that be?" / "Personally I'd still want a scripting language, but one that would be a lot stricter."</t>
  </si>
  <si>
    <t>TypeScript</t>
  </si>
  <si>
    <t>Automoderated by AI Alternative to Reddit</t>
  </si>
  <si>
    <t>Reddit user frustrated with human moderation, floating an AI-moderated forum idea.</t>
  </si>
  <si>
    <t>"Would that interesting to any of you too?" / "Thinking about creating automoderated forums by AI."</t>
  </si>
  <si>
    <t>Stoat: A Good Alternative to Discord?</t>
  </si>
  <si>
    <t>Individual user wants a privacy-respecting, Discord-like chat platform alternative.</t>
  </si>
  <si>
    <t>"May become federated, if the massive user demand is heard. Is it worth it?" / "it seems almost like a 1:1 to discord, with a few differences"</t>
  </si>
  <si>
    <t>Stoat</t>
  </si>
  <si>
    <t>C.O.R.E Alternative to LLM?</t>
  </si>
  <si>
    <t>Curious user asking whether a GitHub project is an LLM alternative; no problem stated.</t>
  </si>
  <si>
    <t>"Hi I found this. Looks cool. I ran the demo and it worked.','' ''Is it LLM alternative?" / "Is it LLM alternative?" / "Hi I found this. Looks cool. I ran the demo and it worked."</t>
  </si>
  <si>
    <t>We are SuperCMMS and we plan to use HN as an alternative to Twitter / X</t>
  </si>
  <si>
    <t>A company announcing it will broadcast messages on HN instead of Twitter; no problem described.</t>
  </si>
  <si>
    <t>"we plan to use HN as an alternative to Twitter / X to broadcast public messages." / "we plan to use HN as an alternative to Twitter / X to broadcast public messages." / "We are SuperCMMS ... and we plan to use HN as an alternative to Twitter / X" / "We are SuperCMMS ... and we plan to use HN as an alternative to Twitter / X"</t>
  </si>
  <si>
    <t>Twitter</t>
  </si>
  <si>
    <t>Viable open source Claude Design alternative?</t>
  </si>
  <si>
    <t>Individual wants an open source AI design tool matching Claude Design's polish and consistency.</t>
  </si>
  <si>
    <t>"Can anyone recommend an alternative to Claude Design?"</t>
  </si>
  <si>
    <t>Claude Design</t>
  </si>
  <si>
    <t>Anyone want to collaborate on a local-first AI-based research assistant</t>
  </si>
  <si>
    <t>Student seeks collaborators for an open-source local NotebookLM alternative; no concrete user problem stated.</t>
  </si>
  <si>
    <t>"this is still under a WORK IN PROGRESS, so i'm still figuring on how it can be properly used" / "i definitely need some help to build this, so if you wish, you are welcome!" / "TlDR: NotebookLM, but Locally with your OWN AI Model" / "I'm Venkatram, a sophomore who's on a mission to build a local alternative"</t>
  </si>
  <si>
    <t>NotebookLM</t>
  </si>
  <si>
    <t>Local, Open source AI meeting recorder that sees and hears everything</t>
  </si>
  <si>
    <t>Author promoting own open-source meeting recorder; no stated problem</t>
  </si>
  <si>
    <t>"If you're looking for a low key, private alternative to cloud meeting recorders, check out lumi." / "No cloud. No account. No subscription. Lumi a small CLI that uses the features already built into macOS." / "It's fully open source, so you can inspect exactly what it's doing instead of trusting a black box."</t>
  </si>
  <si>
    <t>Lumi</t>
  </si>
  <si>
    <t>I have an idea that could be worth billions, &amp; I'm giving it away for free</t>
  </si>
  <si>
    <t>Author pitches a text-chat podcast alternative; no one states a concrete problem.</t>
  </si>
  <si>
    <t>"I have an idea that could be worth billions, &amp; I'm giving it away for free" / "A website where you chat with people &amp; share your chats." / "I have an idea that could be worth billions, &amp; I'm giving it away for free"</t>
  </si>
  <si>
    <t>Return of RSS Feeds</t>
  </si>
  <si>
    <t>Internet publishers losing clicks to AI search summaries, with no direct reader link.</t>
  </si>
  <si>
    <t xml:space="preserve">"The proposal is to promote RSS feeds as an alternative to search engine optimization, or social media sharing.
" / "Once a return user has added a feed to their feed reader, the publisher and the user have a direct link" / "This brief missive regards a response to the impact of AI on Internet publishers.
"</t>
  </si>
  <si>
    <t>RSS</t>
  </si>
  <si>
    <t>Phase 0 summary</t>
  </si>
  <si>
    <t>Inputs (fill in)</t>
  </si>
  <si>
    <t>Manual search minutes before abandoning</t>
  </si>
  <si>
    <t>From your timer: start 10:39 PM on 2026-10-03 to when you stopped. Enter minutes.</t>
  </si>
  <si>
    <t>Minutes spent reviewing this workbook</t>
  </si>
  <si>
    <t>Start a timer when you open this file; enter minutes when done.</t>
  </si>
  <si>
    <t>Results (formulas)</t>
  </si>
  <si>
    <t>Candidates</t>
  </si>
  <si>
    <t>Rows on the Candidates sheet.</t>
  </si>
  <si>
    <t>Labeled</t>
  </si>
  <si>
    <t>Rows with Pursue? filled in.</t>
  </si>
  <si>
    <t>Pursue = yes</t>
  </si>
  <si>
    <t>Pursue = maybe</t>
  </si>
  <si>
    <t>Pursue = no</t>
  </si>
  <si>
    <t>Precision of top 20 (yes ÷ candidates)</t>
  </si>
  <si>
    <t>REQUIREMENTS §9: share of the top 20 you label interesting.</t>
  </si>
  <si>
    <t>Precision, lenient (yes + maybe ÷ candidates)</t>
  </si>
  <si>
    <t>Top 10 by scout ranking: share yes</t>
  </si>
  <si>
    <t>Hybrid ranking (rows 1–10 as delivered).</t>
  </si>
  <si>
    <t>Top 10 by rules-only ranking: share yes</t>
  </si>
  <si>
    <t>Same rows ranked by rules only. Higher than the line above means the model didn't help.</t>
  </si>
  <si>
    <t>Shortlist after your edits</t>
  </si>
  <si>
    <t>Band = Shortlist. Scorer v2 rows: all gates pass, no unsupported score. Older rows: Total ≥ 15.</t>
  </si>
  <si>
    <t>Scores you changed</t>
  </si>
  <si>
    <t>FR-18: overrides are labels for measuring scoring quality.</t>
  </si>
  <si>
    <t>Hours per qualified opportunity (assisted)</t>
  </si>
  <si>
    <t>Review minutes ÷ 60 ÷ yes count. 0 until you enter minutes and label.</t>
  </si>
  <si>
    <t>Run info</t>
  </si>
  <si>
    <t>Generated</t>
  </si>
  <si>
    <t>2026-10-05T13:39:07.013Z</t>
  </si>
  <si>
    <t>Scoring method</t>
  </si>
  <si>
    <t>Scorer v2 (ADR-003): gates G1–G4, then Pain, Messy, Backend, Reachable, Buyer for HN by claude-sonnet-5-5 (prompt judge-v2.1) on the top 270 HN items by rule score, each with a quote checked against the post. HN total excludes Frequency (shown as popularity) and unsupported scores. USAspending: rules.</t>
  </si>
  <si>
    <t>Criterion</t>
  </si>
  <si>
    <t>1</t>
  </si>
  <si>
    <t>2</t>
  </si>
  <si>
    <t>3</t>
  </si>
  <si>
    <t>Scored by</t>
  </si>
  <si>
    <t>Frequency</t>
  </si>
  <si>
    <t>Seen once</t>
  </si>
  <si>
    <t>2–3 times, or in 2 places</t>
  </si>
  <si>
    <t>Recurring across sources or many comments</t>
  </si>
  <si>
    <t>Rule. Scorer v2: HN shows comment count as popularity, not in the total</t>
  </si>
  <si>
    <t>Annoyance, no cost stated</t>
  </si>
  <si>
    <t>Time or money cost implied</t>
  </si>
  <si>
    <t>Hours or dollars stated</t>
  </si>
  <si>
    <t>Model (HN), rule (USAspending)</t>
  </si>
  <si>
    <t>Messy data</t>
  </si>
  <si>
    <t>One clean source</t>
  </si>
  <si>
    <t>Some variants or missing fields</t>
  </si>
  <si>
    <t>Several sources, no shared key</t>
  </si>
  <si>
    <t>Backend weight</t>
  </si>
  <si>
    <t>Mostly UI / forms</t>
  </si>
  <si>
    <t>Some ingestion or matching</t>
  </si>
  <si>
    <t>Real ingestion, matching, storage</t>
  </si>
  <si>
    <t>Reachable</t>
  </si>
  <si>
    <t>Can't say where they gather</t>
  </si>
  <si>
    <t>A broad community</t>
  </si>
  <si>
    <t>A specific place to message 5 of them</t>
  </si>
  <si>
    <t>Buyer (v2)</t>
  </si>
  <si>
    <t>Frustrated user, no budget</t>
  </si>
  <si>
    <t>Freelancer or small team that pays for tools</t>
  </si>
  <si>
    <t>Business or department already spending on it</t>
  </si>
  <si>
    <t>Model (HN only)</t>
  </si>
  <si>
    <t>Needs paid/private data</t>
  </si>
  <si>
    <t>Partly public</t>
  </si>
  <si>
    <t>Prototype fully on public data</t>
  </si>
  <si>
    <t>Rule</t>
  </si>
  <si>
    <t>6–18</t>
  </si>
  <si>
    <t>≥ 15 = Shortlist</t>
  </si>
  <si>
    <t>&lt; 10 = Drop</t>
  </si>
  <si>
    <t>v2 HN: Pain+Messy+Backend+Reach+Buyer+Free data, supported scores only</t>
  </si>
  <si>
    <t>Gates (v2)</t>
  </si>
  <si>
    <t>G1 current problem · G2 asks for help / written need</t>
  </si>
  <si>
    <t>G3 not solvable with an existing tool</t>
  </si>
  <si>
    <t>G4 author has the problem (not selling)</t>
  </si>
  <si>
    <t>Model; a failed gate moves the post to the Gated out sheet</t>
  </si>
  <si>
    <t>Higher is better: 3 is the strongest score on every criterion, 1 the weakest.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</si>
</sst>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sz val="14"/>
      <name val="Arial"/>
    </font>
    <font>
      <i/>
      <sz val="10"/>
      <name val="Arial"/>
    </font>
    <font>
      <b/>
      <sz val="10"/>
      <name val="Arial"/>
    </font>
    <font>
      <b/>
      <color rgb="FFFFFFFF"/>
      <name val="Arial"/>
    </font>
    <font>
      <sz val="10"/>
      <name val="Arial"/>
    </font>
    <font>
      <u/>
      <color rgb="FF0563C1"/>
      <sz val="10"/>
      <name val="Arial"/>
    </font>
    <font>
      <color rgb="FF7F7F7F"/>
      <sz val="10"/>
      <name val="Arial"/>
    </font>
    <font>
      <b/>
      <sz val="11"/>
      <name val="Arial"/>
    </font>
    <font>
      <b/>
      <color rgb="FF9C0006"/>
      <name val="Arial"/>
    </font>
    <font>
      <b/>
      <color rgb="FF9C5700"/>
      <name val="Arial"/>
    </font>
    <font>
      <b/>
      <color rgb="FF006100"/>
      <name val="Arial"/>
    </font>
  </fonts>
  <fills count="7">
    <fill>
      <patternFill patternType="none"/>
    </fill>
    <fill>
      <patternFill patternType="gray125"/>
    </fill>
    <fill>
      <patternFill patternType="solid">
        <fgColor rgb="FF1F3864"/>
      </patternFill>
    </fill>
    <fill>
      <patternFill patternType="solid">
        <fgColor rgb="FFDDEBF7"/>
      </patternFill>
    </fill>
    <fill>
      <patternFill patternType="solid">
        <fgColor rgb="FFFFC7CE"/>
      </patternFill>
    </fill>
    <fill>
      <patternFill patternType="solid">
        <fgColor rgb="FFFFEB9C"/>
      </patternFill>
    </fill>
    <fill>
      <patternFill patternType="solid">
        <fgColor rgb="FFC6EFCE"/>
      </patternFill>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2" fillId="0" borderId="0" xfId="0" applyFont="1" applyAlignment="1">
      <alignment vertical="top" wrapText="1"/>
    </xf>
    <xf numFmtId="0" fontId="3" fillId="0" borderId="0" xfId="0" applyFont="1"/>
    <xf numFmtId="0" fontId="4" fillId="2" borderId="0" xfId="0" applyFont="1" applyFill="1" applyAlignment="1">
      <alignment vertical="center" wrapText="1"/>
    </xf>
    <xf numFmtId="0" fontId="5" fillId="0" borderId="0" xfId="0" applyFont="1" applyAlignment="1">
      <alignment vertical="top"/>
    </xf>
    <xf numFmtId="0" fontId="5" fillId="0" borderId="0" xfId="0" applyFont="1" applyAlignment="1">
      <alignment vertical="top" wrapText="1"/>
    </xf>
    <xf numFmtId="0" fontId="6" fillId="0" borderId="0" xfId="0" applyFont="1" applyAlignment="1">
      <alignment vertical="top"/>
    </xf>
    <xf numFmtId="0" fontId="3" fillId="0" borderId="0" xfId="0" applyFont="1" applyAlignment="1">
      <alignment vertical="top"/>
    </xf>
    <xf numFmtId="0" fontId="5" fillId="3" borderId="0" xfId="0" applyFont="1" applyFill="1" applyAlignment="1">
      <alignment vertical="top"/>
    </xf>
    <xf numFmtId="0" fontId="5" fillId="3" borderId="0" xfId="0" applyFont="1" applyFill="1" applyAlignment="1">
      <alignment vertical="top" wrapText="1"/>
    </xf>
    <xf numFmtId="0" fontId="7" fillId="0" borderId="0" xfId="0" applyFont="1" applyAlignment="1">
      <alignment vertical="top"/>
    </xf>
    <xf numFmtId="0" fontId="7" fillId="0" borderId="0" xfId="0" applyFont="1" applyAlignment="1">
      <alignment vertical="top" wrapText="1"/>
    </xf>
    <xf numFmtId="0" fontId="5" fillId="0" borderId="0" xfId="0" applyFont="1"/>
    <xf numFmtId="0" fontId="8" fillId="0" borderId="0" xfId="0" applyFont="1"/>
    <xf numFmtId="0" fontId="5" fillId="3" borderId="0" xfId="0" applyFont="1" applyFill="1"/>
    <xf numFmtId="9" fontId="5" fillId="0" borderId="0" xfId="0" applyNumberFormat="1" applyFont="1"/>
    <xf numFmtId="2" fontId="5" fillId="0" borderId="0" xfId="0" applyNumberFormat="1" applyFont="1"/>
    <xf numFmtId="0" fontId="9" fillId="4" borderId="0" xfId="0" applyFont="1" applyFill="1" applyAlignment="1">
      <alignment vertical="center" wrapText="1"/>
    </xf>
    <xf numFmtId="0" fontId="10" fillId="5" borderId="0" xfId="0" applyFont="1" applyFill="1" applyAlignment="1">
      <alignment vertical="center" wrapText="1"/>
    </xf>
    <xf numFmtId="0" fontId="11" fillId="6" borderId="0" xfId="0" applyFont="1" applyFill="1" applyAlignment="1">
      <alignment vertical="center" wrapText="1"/>
    </xf>
    <xf numFmtId="0" fontId="2" fillId="0" borderId="0" xfId="0" applyFont="1"/>
  </cellXfs>
  <cellStyles count="1">
    <cellStyle name="Normal" xfId="0" builtinId="0"/>
  </cellStyles>
  <dxfs count="16">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m.cityofchicago.org/eSMARTContracts/service/DPSWebDocumentViewer?sid=ESMART&amp;id={A0CB48A0-0000-C615-8446-8534F1FCA278}" TargetMode="External"/><Relationship Id="rId2" Type="http://schemas.openxmlformats.org/officeDocument/2006/relationships/hyperlink" Target="http://ecm.cityofchicago.org/eSMARTContracts/service/DPSWebDocumentViewer?sid=ESMART&amp;id={607886A0-0000-C313-8C14-131C0640380F}" TargetMode="External"/><Relationship Id="rId3" Type="http://schemas.openxmlformats.org/officeDocument/2006/relationships/hyperlink" Target="http://ecm.cityofchicago.org/eSMARTContracts/service/DPSWebDocumentViewer?sid=ESMART&amp;id={80E416A0-0000-C519-92E5-D452EDCCE375}" TargetMode="External"/><Relationship Id="rId4" Type="http://schemas.openxmlformats.org/officeDocument/2006/relationships/hyperlink" Target="http://ecm.cityofchicago.org/eSMARTContracts/service/DPSWebDocumentViewer?sid=ESMART&amp;id={1082AF9F-0000-CB10-9C9A-6E6D5654C6E9}" TargetMode="External"/><Relationship Id="rId5" Type="http://schemas.openxmlformats.org/officeDocument/2006/relationships/hyperlink" Target="https://a856-cityrecord.nyc.gov/RequestDetail/20260924009" TargetMode="External"/><Relationship Id="rId6" Type="http://schemas.openxmlformats.org/officeDocument/2006/relationships/hyperlink" Target="http://ecm.cityofchicago.org/eSMARTContracts/service/DPSWebDocumentViewer?sid=ESMART&amp;id={A0AF39A0-0000-CF13-A0B6-25963A843C67}" TargetMode="External"/><Relationship Id="rId7" Type="http://schemas.openxmlformats.org/officeDocument/2006/relationships/hyperlink" Target="https://data.cityofchicago.org/d/rsxa-ify5" TargetMode="External"/><Relationship Id="rId8" Type="http://schemas.openxmlformats.org/officeDocument/2006/relationships/hyperlink" Target="https://a856-cityrecord.nyc.gov/RequestDetail/20260916014" TargetMode="External"/><Relationship Id="rId9" Type="http://schemas.openxmlformats.org/officeDocument/2006/relationships/hyperlink" Target="http://ecm.cityofchicago.org/eSMARTContracts/service/DPSWebDocumentViewer?sid=ESMART&amp;id={C0C4719F-0000-CB13-A686-E34A2DABDC81}" TargetMode="External"/><Relationship Id="rId10" Type="http://schemas.openxmlformats.org/officeDocument/2006/relationships/hyperlink" Target="http://ecm.cityofchicago.org/eSMARTContracts/service/DPSWebDocumentViewer?sid=ESMART&amp;id={F04BEC9F-0000-CA1F-A86A-B210AA6C3E92}" TargetMode="External"/><Relationship Id="rId11" Type="http://schemas.openxmlformats.org/officeDocument/2006/relationships/hyperlink" Target="https://a856-cityrecord.nyc.gov/RequestDetail/20260918017" TargetMode="External"/><Relationship Id="rId12" Type="http://schemas.openxmlformats.org/officeDocument/2006/relationships/hyperlink" Target="http://ecm.cityofchicago.org/eSMARTContracts/service/DPSWebDocumentViewer?sid=ESMART&amp;id={A04EFDA0-0000-C716-B939-2EAB7977CDDB}" TargetMode="External"/><Relationship Id="rId13" Type="http://schemas.openxmlformats.org/officeDocument/2006/relationships/hyperlink" Target="https://a856-cityrecord.nyc.gov/RequestDetail/20260915015" TargetMode="External"/><Relationship Id="rId14" Type="http://schemas.openxmlformats.org/officeDocument/2006/relationships/hyperlink" Target="https://a856-cityrecord.nyc.gov/RequestDetail/20260928003" TargetMode="External"/><Relationship Id="rId15" Type="http://schemas.openxmlformats.org/officeDocument/2006/relationships/hyperlink" Target="https://a856-cityrecord.nyc.gov/RequestDetail/20260915007" TargetMode="External"/><Relationship Id="rId16" Type="http://schemas.openxmlformats.org/officeDocument/2006/relationships/hyperlink" Target="https://news.ycombinator.com/item?id=47368874" TargetMode="External"/><Relationship Id="rId17" Type="http://schemas.openxmlformats.org/officeDocument/2006/relationships/hyperlink" Target="https://news.ycombinator.com/item?id=46706001" TargetMode="External"/><Relationship Id="rId18" Type="http://schemas.openxmlformats.org/officeDocument/2006/relationships/hyperlink" Target="https://news.ycombinator.com/item?id=46734069" TargetMode="External"/><Relationship Id="rId19" Type="http://schemas.openxmlformats.org/officeDocument/2006/relationships/hyperlink" Target="https://news.ycombinator.com/item?id=47418016" TargetMode="External"/><Relationship Id="rId20" Type="http://schemas.openxmlformats.org/officeDocument/2006/relationships/hyperlink" Target="https://news.ycombinator.com/item?id=46702458" TargetMode="External"/><Relationship Id="rId21" Type="http://schemas.openxmlformats.org/officeDocument/2006/relationships/hyperlink" Target="https://news.ycombinator.com/item?id=46763092" TargetMode="External"/><Relationship Id="rId22" Type="http://schemas.openxmlformats.org/officeDocument/2006/relationships/hyperlink" Target="https://news.ycombinator.com/item?id=46885728" TargetMode="External"/><Relationship Id="rId23" Type="http://schemas.openxmlformats.org/officeDocument/2006/relationships/hyperlink" Target="https://news.ycombinator.com/item?id=45695556" TargetMode="External"/><Relationship Id="rId24" Type="http://schemas.openxmlformats.org/officeDocument/2006/relationships/hyperlink" Target="https://news.ycombinator.com/item?id=46492774" TargetMode="External"/><Relationship Id="rId25" Type="http://schemas.openxmlformats.org/officeDocument/2006/relationships/hyperlink" Target="https://news.ycombinator.com/item?id=46037226" TargetMode="External"/><Relationship Id="rId26" Type="http://schemas.openxmlformats.org/officeDocument/2006/relationships/hyperlink" Target="https://news.ycombinator.com/item?id=45788980" TargetMode="External"/><Relationship Id="rId27" Type="http://schemas.openxmlformats.org/officeDocument/2006/relationships/hyperlink" Target="https://news.ycombinator.com/item?id=46208740" TargetMode="External"/><Relationship Id="rId28" Type="http://schemas.openxmlformats.org/officeDocument/2006/relationships/hyperlink" Target="https://www.usaspending.gov/award/CONT_AWD_15A00024FAQ000034_1560_15A00023DAQA00029_1560" TargetMode="External"/><Relationship Id="rId29" Type="http://schemas.openxmlformats.org/officeDocument/2006/relationships/hyperlink" Target="https://www.usaspending.gov/award/CONT_AWD_DELM0000421_8900_-NONE-_-NONE-" TargetMode="External"/><Relationship Id="rId30" Type="http://schemas.openxmlformats.org/officeDocument/2006/relationships/hyperlink" Target="https://www.usaspending.gov/award/CONT_AWD_70SBUR24F00000192_7003_70RTAC23A00000001_7001" TargetMode="External"/><Relationship Id="rId31" Type="http://schemas.openxmlformats.org/officeDocument/2006/relationships/hyperlink" Target="https://www.usaspending.gov/award/CONT_AWD_75FCMC22F0005_7530_47QTCA19D00AJ_4732" TargetMode="External"/><Relationship Id="rId32" Type="http://schemas.openxmlformats.org/officeDocument/2006/relationships/hyperlink" Target="https://www.usaspending.gov/award/CONT_AWD_70CTD026FC0000012_7012_70RTAC26A00000001_7001" TargetMode="External"/><Relationship Id="rId33" Type="http://schemas.openxmlformats.org/officeDocument/2006/relationships/hyperlink" Target="https://www.usaspending.gov/award/CONT_AWD_75N94024F00001_7529_HHSN316201200044W_7529" TargetMode="External"/><Relationship Id="rId34" Type="http://schemas.openxmlformats.org/officeDocument/2006/relationships/hyperlink" Target="https://www.usaspending.gov/award/CONT_AWD_50310221F0183_5000_SECHQ117A0007_5000" TargetMode="External"/><Relationship Id="rId35" Type="http://schemas.openxmlformats.org/officeDocument/2006/relationships/hyperlink" Target="https://www.usaspending.gov/award/CONT_AWD_2031ZB25F00031_2041_47QTCB21D0306_4732"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ecm.cityofchicago.org/eSMARTContracts/service/DPSWebDocumentViewer?sid=ESMART&amp;id={10B03AA0-0000-C01B-AEC4-EF4909E4E50C}" TargetMode="External"/><Relationship Id="rId2" Type="http://schemas.openxmlformats.org/officeDocument/2006/relationships/hyperlink" Target="https://a856-cityrecord.nyc.gov/RequestDetail/20260925010" TargetMode="External"/><Relationship Id="rId3" Type="http://schemas.openxmlformats.org/officeDocument/2006/relationships/hyperlink" Target="https://a856-cityrecord.nyc.gov/RequestDetail/20260923039" TargetMode="External"/><Relationship Id="rId4" Type="http://schemas.openxmlformats.org/officeDocument/2006/relationships/hyperlink" Target="https://a856-cityrecord.nyc.gov/RequestDetail/20260922011" TargetMode="External"/><Relationship Id="rId5" Type="http://schemas.openxmlformats.org/officeDocument/2006/relationships/hyperlink" Target="https://a856-cityrecord.nyc.gov/RequestDetail/20260915026" TargetMode="External"/><Relationship Id="rId6" Type="http://schemas.openxmlformats.org/officeDocument/2006/relationships/hyperlink" Target="https://a856-cityrecord.nyc.gov/RequestDetail/20260915018" TargetMode="External"/><Relationship Id="rId7" Type="http://schemas.openxmlformats.org/officeDocument/2006/relationships/hyperlink" Target="https://a856-cityrecord.nyc.gov/RequestDetail/20260910016" TargetMode="External"/><Relationship Id="rId8" Type="http://schemas.openxmlformats.org/officeDocument/2006/relationships/hyperlink" Target="https://a856-cityrecord.nyc.gov/RequestDetail/20260909024" TargetMode="External"/><Relationship Id="rId9" Type="http://schemas.openxmlformats.org/officeDocument/2006/relationships/hyperlink" Target="http://ecm.cityofchicago.org/eSMARTContracts/service/DPSWebDocumentViewer?sid=ESMART&amp;id={8087FB9F-0000-CA1E-B810-9E08635C7613}" TargetMode="External"/><Relationship Id="rId10" Type="http://schemas.openxmlformats.org/officeDocument/2006/relationships/hyperlink" Target="https://data.cityofchicago.org/d/rsxa-ify5" TargetMode="External"/><Relationship Id="rId11" Type="http://schemas.openxmlformats.org/officeDocument/2006/relationships/hyperlink" Target="https://a856-cityrecord.nyc.gov/RequestDetail/20260916007" TargetMode="External"/><Relationship Id="rId12" Type="http://schemas.openxmlformats.org/officeDocument/2006/relationships/hyperlink" Target="https://a856-cityrecord.nyc.gov/RequestDetail/20260914005" TargetMode="External"/><Relationship Id="rId13" Type="http://schemas.openxmlformats.org/officeDocument/2006/relationships/hyperlink" Target="https://a856-cityrecord.nyc.gov/RequestDetail/20260914011" TargetMode="External"/><Relationship Id="rId14" Type="http://schemas.openxmlformats.org/officeDocument/2006/relationships/hyperlink" Target="https://a856-cityrecord.nyc.gov/RequestDetail/20260909020" TargetMode="External"/><Relationship Id="rId15" Type="http://schemas.openxmlformats.org/officeDocument/2006/relationships/hyperlink" Target="https://a856-cityrecord.nyc.gov/RequestDetail/20260908014" TargetMode="External"/><Relationship Id="rId16" Type="http://schemas.openxmlformats.org/officeDocument/2006/relationships/hyperlink" Target="http://ecm.cityofchicago.org/eSMARTContracts/service/DPSWebDocumentViewer?sid=ESMART&amp;id={104DFDA0-0000-C710-9D26-E014331817A2}" TargetMode="External"/><Relationship Id="rId17" Type="http://schemas.openxmlformats.org/officeDocument/2006/relationships/hyperlink" Target="https://data.cityofchicago.org/d/rsxa-ify5" TargetMode="External"/><Relationship Id="rId18" Type="http://schemas.openxmlformats.org/officeDocument/2006/relationships/hyperlink" Target="https://data.cityofchicago.org/d/rsxa-ify5" TargetMode="External"/><Relationship Id="rId19" Type="http://schemas.openxmlformats.org/officeDocument/2006/relationships/hyperlink" Target="http://ecm.cityofchicago.org/eSMARTContracts/service/DPSWebDocumentViewer?sid=ESMART&amp;id={80BAE8A0-0000-CB17-B039-85034C06B185}" TargetMode="External"/><Relationship Id="rId20" Type="http://schemas.openxmlformats.org/officeDocument/2006/relationships/hyperlink" Target="http://ecm.cityofchicago.org/eSMARTContracts/service/DPSWebDocumentViewer?sid=ESMART&amp;id={B09FE8A0-0000-CF1E-A311-F8C55885FE28}" TargetMode="External"/><Relationship Id="rId21" Type="http://schemas.openxmlformats.org/officeDocument/2006/relationships/hyperlink" Target="https://data.cityofchicago.org/d/rsxa-ify5" TargetMode="External"/><Relationship Id="rId22" Type="http://schemas.openxmlformats.org/officeDocument/2006/relationships/hyperlink" Target="https://data.cityofchicago.org/d/rsxa-ify5" TargetMode="External"/><Relationship Id="rId23" Type="http://schemas.openxmlformats.org/officeDocument/2006/relationships/hyperlink" Target="http://ecm.cityofchicago.org/eSMARTContracts/service/DPSWebDocumentViewer?sid=ESMART&amp;id={401AC5A0-0000-CC19-95E6-22C01141ED52}" TargetMode="External"/><Relationship Id="rId24" Type="http://schemas.openxmlformats.org/officeDocument/2006/relationships/hyperlink" Target="http://ecm.cityofchicago.org/eSMARTContracts/service/DPSWebDocumentViewer?sid=ESMART&amp;id={F048C4A0-0000-C91F-A38E-E3173EE5875D}" TargetMode="External"/><Relationship Id="rId25" Type="http://schemas.openxmlformats.org/officeDocument/2006/relationships/hyperlink" Target="http://ecm.cityofchicago.org/eSMARTContracts/service/DPSWebDocumentViewer?sid=ESMART&amp;id={D0A267A0-0000-CD14-B76A-1AFDF9810C5A}" TargetMode="External"/><Relationship Id="rId26" Type="http://schemas.openxmlformats.org/officeDocument/2006/relationships/hyperlink" Target="http://ecm.cityofchicago.org/eSMARTContracts/service/DPSWebDocumentViewer?sid=ESMART&amp;id={50A167A0-0000-CB19-8C68-C37E739193F6}" TargetMode="External"/><Relationship Id="rId27" Type="http://schemas.openxmlformats.org/officeDocument/2006/relationships/hyperlink" Target="http://ecm.cityofchicago.org/eSMARTContracts/service/DPSWebDocumentViewer?sid=ESMART&amp;id={B0016EA0-0000-CF13-8910-75F0728BFD72}" TargetMode="External"/><Relationship Id="rId28" Type="http://schemas.openxmlformats.org/officeDocument/2006/relationships/hyperlink" Target="http://ecm.cityofchicago.org/eSMARTContracts/service/DPSWebDocumentViewer?sid=ESMART&amp;id={90086EA0-0000-C716-8CE4-4A964595EB0C}" TargetMode="External"/><Relationship Id="rId29" Type="http://schemas.openxmlformats.org/officeDocument/2006/relationships/hyperlink" Target="http://ecm.cityofchicago.org/eSMARTContracts/service/DPSWebDocumentViewer?sid=ESMART&amp;id={40D348A0-0000-C01A-B7AE-9F340027F2C3}" TargetMode="External"/><Relationship Id="rId30" Type="http://schemas.openxmlformats.org/officeDocument/2006/relationships/hyperlink" Target="http://ecm.cityofchicago.org/eSMARTContracts/service/DPSWebDocumentViewer?sid=ESMART&amp;id={500D49A0-0000-CD1C-A5CD-870CA4EB8C9E}" TargetMode="External"/><Relationship Id="rId31" Type="http://schemas.openxmlformats.org/officeDocument/2006/relationships/hyperlink" Target="http://ecm.cityofchicago.org/eSMARTContracts/service/DPSWebDocumentViewer?sid=ESMART&amp;id={F03C5EA0-0000-C71D-8B84-FAF4AD20DDA0}" TargetMode="External"/><Relationship Id="rId32" Type="http://schemas.openxmlformats.org/officeDocument/2006/relationships/hyperlink" Target="https://data.cityofchicago.org/d/rsxa-ify5" TargetMode="External"/><Relationship Id="rId33" Type="http://schemas.openxmlformats.org/officeDocument/2006/relationships/hyperlink" Target="http://ecm.cityofchicago.org/eSMARTContracts/service/DPSWebDocumentViewer?sid=ESMART&amp;id={B02059A0-0000-C11D-9A22-27C7B8A3B9CC}" TargetMode="External"/><Relationship Id="rId34" Type="http://schemas.openxmlformats.org/officeDocument/2006/relationships/hyperlink" Target="http://ecm.cityofchicago.org/eSMARTContracts/service/DPSWebDocumentViewer?sid=ESMART&amp;id={B0453FA0-0000-C510-86A2-11DF662560C9}" TargetMode="External"/><Relationship Id="rId35" Type="http://schemas.openxmlformats.org/officeDocument/2006/relationships/hyperlink" Target="https://data.cityofchicago.org/d/rsxa-ify5" TargetMode="External"/><Relationship Id="rId36" Type="http://schemas.openxmlformats.org/officeDocument/2006/relationships/hyperlink" Target="http://ecm.cityofchicago.org/eSMARTContracts/service/DPSWebDocumentViewer?sid=ESMART&amp;id={808839A0-0000-C01F-B5AF-4CA3B6524119}" TargetMode="External"/><Relationship Id="rId37" Type="http://schemas.openxmlformats.org/officeDocument/2006/relationships/hyperlink" Target="http://ecm.cityofchicago.org/eSMARTContracts/service/DPSWebDocumentViewer?sid=ESMART&amp;id={E07420A0-0000-C616-96BB-ED4907299B3B}" TargetMode="External"/><Relationship Id="rId38" Type="http://schemas.openxmlformats.org/officeDocument/2006/relationships/hyperlink" Target="http://ecm.cityofchicago.org/eSMARTContracts/service/DPSWebDocumentViewer?sid=ESMART&amp;id={90AA25A0-0000-CD11-89BB-6425134B66AA}" TargetMode="External"/><Relationship Id="rId39" Type="http://schemas.openxmlformats.org/officeDocument/2006/relationships/hyperlink" Target="http://ecm.cityofchicago.org/eSMARTContracts/service/DPSWebDocumentViewer?sid=ESMART&amp;id={A0A825A0-0000-CE1F-94F7-69FE65D17600}" TargetMode="External"/><Relationship Id="rId40" Type="http://schemas.openxmlformats.org/officeDocument/2006/relationships/hyperlink" Target="http://ecm.cityofchicago.org/eSMARTContracts/service/DPSWebDocumentViewer?sid=ESMART&amp;id={308139A0-0000-C61D-B64D-CA405A96395C}" TargetMode="External"/><Relationship Id="rId41" Type="http://schemas.openxmlformats.org/officeDocument/2006/relationships/hyperlink" Target="http://ecm.cityofchicago.org/eSMARTContracts/service/DPSWebDocumentViewer?sid=ESMART&amp;id={30D6DD9F-0000-C01F-A375-116EE78E21A9}" TargetMode="External"/><Relationship Id="rId42" Type="http://schemas.openxmlformats.org/officeDocument/2006/relationships/hyperlink" Target="http://ecm.cityofchicago.org/eSMARTContracts/service/DPSWebDocumentViewer?sid=ESMART&amp;id={809F00A0-0000-CF16-9C7C-EF93DBABBAAA}" TargetMode="External"/><Relationship Id="rId43" Type="http://schemas.openxmlformats.org/officeDocument/2006/relationships/hyperlink" Target="http://ecm.cityofchicago.org/eSMARTContracts/service/DPSWebDocumentViewer?sid=ESMART&amp;id={6078EC9F-0000-CE10-B802-4D2BDAD6071C}" TargetMode="External"/><Relationship Id="rId44" Type="http://schemas.openxmlformats.org/officeDocument/2006/relationships/hyperlink" Target="http://ecm.cityofchicago.org/eSMARTContracts/service/DPSWebDocumentViewer?sid=ESMART&amp;id={208C15A0-0000-C21D-A242-C23FDC832762}" TargetMode="External"/><Relationship Id="rId45" Type="http://schemas.openxmlformats.org/officeDocument/2006/relationships/hyperlink" Target="https://data.cityofchicago.org/d/rsxa-ify5" TargetMode="External"/><Relationship Id="rId46" Type="http://schemas.openxmlformats.org/officeDocument/2006/relationships/hyperlink" Target="http://ecm.cityofchicago.org/eSMARTContracts/service/DPSWebDocumentViewer?sid=ESMART&amp;id={50F1C79F-0000-C11C-BB89-523C97F7D022}" TargetMode="External"/><Relationship Id="rId47" Type="http://schemas.openxmlformats.org/officeDocument/2006/relationships/hyperlink" Target="http://ecm.cityofchicago.org/eSMARTContracts/service/DPSWebDocumentViewer?sid=ESMART&amp;id={A02DAE9F-0000-C01C-A5A1-A4BA6635FBAD}" TargetMode="External"/><Relationship Id="rId48" Type="http://schemas.openxmlformats.org/officeDocument/2006/relationships/hyperlink" Target="https://data.cityofchicago.org/d/rsxa-ify5" TargetMode="External"/><Relationship Id="rId49" Type="http://schemas.openxmlformats.org/officeDocument/2006/relationships/hyperlink" Target="http://ecm.cityofchicago.org/eSMARTContracts/service/DPSWebDocumentViewer?sid=ESMART&amp;id={D08239A0-0000-CB14-8B29-62BDCFB93710}" TargetMode="External"/><Relationship Id="rId50" Type="http://schemas.openxmlformats.org/officeDocument/2006/relationships/hyperlink" Target="http://ecm.cityofchicago.org/eSMARTContracts/service/DPSWebDocumentViewer?sid=ESMART&amp;id={303BA49F-0000-CE15-85B2-6C4B0019C629}" TargetMode="External"/><Relationship Id="rId51" Type="http://schemas.openxmlformats.org/officeDocument/2006/relationships/hyperlink" Target="https://data.cityofchicago.org/d/rsxa-ify5" TargetMode="External"/><Relationship Id="rId52" Type="http://schemas.openxmlformats.org/officeDocument/2006/relationships/hyperlink" Target="http://ecm.cityofchicago.org/eSMARTContracts/service/DPSWebDocumentViewer?sid=ESMART&amp;id={E030869F-0000-C61B-B3FB-E95A84967948}" TargetMode="External"/><Relationship Id="rId53" Type="http://schemas.openxmlformats.org/officeDocument/2006/relationships/hyperlink" Target="https://data.cityofchicago.org/d/rsxa-ify5" TargetMode="External"/><Relationship Id="rId54" Type="http://schemas.openxmlformats.org/officeDocument/2006/relationships/hyperlink" Target="https://data.cityofchicago.org/d/rsxa-ify5" TargetMode="External"/><Relationship Id="rId55" Type="http://schemas.openxmlformats.org/officeDocument/2006/relationships/hyperlink" Target="http://ecm.cityofchicago.org/eSMARTContracts/service/DPSWebDocumentViewer?sid=ESMART&amp;id={6086FC9F-0000-C012-B384-4863FCBE22FF}" TargetMode="External"/><Relationship Id="rId56" Type="http://schemas.openxmlformats.org/officeDocument/2006/relationships/hyperlink" Target="http://ecm.cityofchicago.org/eSMARTContracts/service/DPSWebDocumentViewer?sid=ESMART&amp;id={F0606C9F-0000-C917-935E-1E06B30477EB}" TargetMode="External"/><Relationship Id="rId57" Type="http://schemas.openxmlformats.org/officeDocument/2006/relationships/hyperlink" Target="http://ecm.cityofchicago.org/eSMARTContracts/service/DPSWebDocumentViewer?sid=ESMART&amp;id={20686C9F-0000-C312-A0A2-9C5FC8A13FC7}" TargetMode="External"/><Relationship Id="rId58" Type="http://schemas.openxmlformats.org/officeDocument/2006/relationships/hyperlink" Target="http://ecm.cityofchicago.org/eSMARTContracts/service/DPSWebDocumentViewer?sid=ESMART&amp;id={20634C9F-0000-C91B-B477-A598E40D7DB7}" TargetMode="External"/><Relationship Id="rId59" Type="http://schemas.openxmlformats.org/officeDocument/2006/relationships/hyperlink" Target="https://a856-cityrecord.nyc.gov/RequestDetail/20260929007" TargetMode="External"/><Relationship Id="rId60" Type="http://schemas.openxmlformats.org/officeDocument/2006/relationships/hyperlink" Target="https://a856-cityrecord.nyc.gov/RequestDetail/20260925026" TargetMode="External"/><Relationship Id="rId61" Type="http://schemas.openxmlformats.org/officeDocument/2006/relationships/hyperlink" Target="https://a856-cityrecord.nyc.gov/RequestDetail/20260928009" TargetMode="External"/><Relationship Id="rId62" Type="http://schemas.openxmlformats.org/officeDocument/2006/relationships/hyperlink" Target="https://a856-cityrecord.nyc.gov/RequestDetail/20260925016" TargetMode="External"/><Relationship Id="rId63" Type="http://schemas.openxmlformats.org/officeDocument/2006/relationships/hyperlink" Target="https://a856-cityrecord.nyc.gov/RequestDetail/20260924022" TargetMode="External"/><Relationship Id="rId64" Type="http://schemas.openxmlformats.org/officeDocument/2006/relationships/hyperlink" Target="https://a856-cityrecord.nyc.gov/RequestDetail/20260924010" TargetMode="External"/><Relationship Id="rId65" Type="http://schemas.openxmlformats.org/officeDocument/2006/relationships/hyperlink" Target="https://a856-cityrecord.nyc.gov/RequestDetail/20260923017" TargetMode="External"/><Relationship Id="rId66" Type="http://schemas.openxmlformats.org/officeDocument/2006/relationships/hyperlink" Target="https://a856-cityrecord.nyc.gov/RequestDetail/20260922005" TargetMode="External"/><Relationship Id="rId67" Type="http://schemas.openxmlformats.org/officeDocument/2006/relationships/hyperlink" Target="https://a856-cityrecord.nyc.gov/RequestDetail/20260922012" TargetMode="External"/><Relationship Id="rId68" Type="http://schemas.openxmlformats.org/officeDocument/2006/relationships/hyperlink" Target="https://a856-cityrecord.nyc.gov/RequestDetail/20260921006" TargetMode="External"/><Relationship Id="rId69" Type="http://schemas.openxmlformats.org/officeDocument/2006/relationships/hyperlink" Target="https://a856-cityrecord.nyc.gov/RequestDetail/20260921007" TargetMode="External"/><Relationship Id="rId70" Type="http://schemas.openxmlformats.org/officeDocument/2006/relationships/hyperlink" Target="https://a856-cityrecord.nyc.gov/RequestDetail/20260918014" TargetMode="External"/><Relationship Id="rId71" Type="http://schemas.openxmlformats.org/officeDocument/2006/relationships/hyperlink" Target="https://a856-cityrecord.nyc.gov/RequestDetail/20260917008" TargetMode="External"/><Relationship Id="rId72" Type="http://schemas.openxmlformats.org/officeDocument/2006/relationships/hyperlink" Target="https://a856-cityrecord.nyc.gov/RequestDetail/20260916033" TargetMode="External"/><Relationship Id="rId73" Type="http://schemas.openxmlformats.org/officeDocument/2006/relationships/hyperlink" Target="https://a856-cityrecord.nyc.gov/RequestDetail/20260917014" TargetMode="External"/><Relationship Id="rId74" Type="http://schemas.openxmlformats.org/officeDocument/2006/relationships/hyperlink" Target="https://a856-cityrecord.nyc.gov/RequestDetail/20260917006" TargetMode="External"/><Relationship Id="rId75" Type="http://schemas.openxmlformats.org/officeDocument/2006/relationships/hyperlink" Target="https://a856-cityrecord.nyc.gov/RequestDetail/20260917007" TargetMode="External"/><Relationship Id="rId76" Type="http://schemas.openxmlformats.org/officeDocument/2006/relationships/hyperlink" Target="https://a856-cityrecord.nyc.gov/RequestDetail/20260915038" TargetMode="External"/><Relationship Id="rId77" Type="http://schemas.openxmlformats.org/officeDocument/2006/relationships/hyperlink" Target="https://a856-cityrecord.nyc.gov/RequestDetail/20260916005" TargetMode="External"/><Relationship Id="rId78" Type="http://schemas.openxmlformats.org/officeDocument/2006/relationships/hyperlink" Target="https://a856-cityrecord.nyc.gov/RequestDetail/20260915027" TargetMode="External"/><Relationship Id="rId79" Type="http://schemas.openxmlformats.org/officeDocument/2006/relationships/hyperlink" Target="https://a856-cityrecord.nyc.gov/RequestDetail/20260915011" TargetMode="External"/><Relationship Id="rId80" Type="http://schemas.openxmlformats.org/officeDocument/2006/relationships/hyperlink" Target="https://a856-cityrecord.nyc.gov/RequestDetail/20260915009" TargetMode="External"/><Relationship Id="rId81" Type="http://schemas.openxmlformats.org/officeDocument/2006/relationships/hyperlink" Target="https://a856-cityrecord.nyc.gov/RequestDetail/20260914007" TargetMode="External"/><Relationship Id="rId82" Type="http://schemas.openxmlformats.org/officeDocument/2006/relationships/hyperlink" Target="https://a856-cityrecord.nyc.gov/RequestDetail/20260914004" TargetMode="External"/><Relationship Id="rId83" Type="http://schemas.openxmlformats.org/officeDocument/2006/relationships/hyperlink" Target="https://a856-cityrecord.nyc.gov/RequestDetail/20260911008" TargetMode="External"/><Relationship Id="rId84" Type="http://schemas.openxmlformats.org/officeDocument/2006/relationships/hyperlink" Target="https://a856-cityrecord.nyc.gov/RequestDetail/20260910022" TargetMode="External"/><Relationship Id="rId85" Type="http://schemas.openxmlformats.org/officeDocument/2006/relationships/hyperlink" Target="https://a856-cityrecord.nyc.gov/RequestDetail/20260911010" TargetMode="External"/><Relationship Id="rId86" Type="http://schemas.openxmlformats.org/officeDocument/2006/relationships/hyperlink" Target="https://a856-cityrecord.nyc.gov/RequestDetail/20260911006" TargetMode="External"/><Relationship Id="rId87" Type="http://schemas.openxmlformats.org/officeDocument/2006/relationships/hyperlink" Target="https://a856-cityrecord.nyc.gov/RequestDetail/20260910014" TargetMode="External"/><Relationship Id="rId88" Type="http://schemas.openxmlformats.org/officeDocument/2006/relationships/hyperlink" Target="https://news.ycombinator.com/item?id=46238354" TargetMode="External"/><Relationship Id="rId89" Type="http://schemas.openxmlformats.org/officeDocument/2006/relationships/hyperlink" Target="https://news.ycombinator.com/item?id=46292682" TargetMode="External"/><Relationship Id="rId90" Type="http://schemas.openxmlformats.org/officeDocument/2006/relationships/hyperlink" Target="https://news.ycombinator.com/item?id=48395194" TargetMode="External"/><Relationship Id="rId91" Type="http://schemas.openxmlformats.org/officeDocument/2006/relationships/hyperlink" Target="https://news.ycombinator.com/item?id=47618992" TargetMode="External"/><Relationship Id="rId92" Type="http://schemas.openxmlformats.org/officeDocument/2006/relationships/hyperlink" Target="https://news.ycombinator.com/item?id=46989268" TargetMode="External"/><Relationship Id="rId93" Type="http://schemas.openxmlformats.org/officeDocument/2006/relationships/hyperlink" Target="https://news.ycombinator.com/item?id=46508942" TargetMode="External"/><Relationship Id="rId94" Type="http://schemas.openxmlformats.org/officeDocument/2006/relationships/hyperlink" Target="https://news.ycombinator.com/item?id=47846253" TargetMode="External"/><Relationship Id="rId95" Type="http://schemas.openxmlformats.org/officeDocument/2006/relationships/hyperlink" Target="https://news.ycombinator.com/item?id=48820488" TargetMode="External"/><Relationship Id="rId96" Type="http://schemas.openxmlformats.org/officeDocument/2006/relationships/hyperlink" Target="https://news.ycombinator.com/item?id=45823234" TargetMode="External"/><Relationship Id="rId97" Type="http://schemas.openxmlformats.org/officeDocument/2006/relationships/hyperlink" Target="https://news.ycombinator.com/item?id=47362152" TargetMode="External"/><Relationship Id="rId98" Type="http://schemas.openxmlformats.org/officeDocument/2006/relationships/hyperlink" Target="https://news.ycombinator.com/item?id=47331930" TargetMode="External"/><Relationship Id="rId99" Type="http://schemas.openxmlformats.org/officeDocument/2006/relationships/hyperlink" Target="https://news.ycombinator.com/item?id=45900352" TargetMode="External"/><Relationship Id="rId100" Type="http://schemas.openxmlformats.org/officeDocument/2006/relationships/hyperlink" Target="https://news.ycombinator.com/item?id=45618229" TargetMode="External"/><Relationship Id="rId101" Type="http://schemas.openxmlformats.org/officeDocument/2006/relationships/hyperlink" Target="https://news.ycombinator.com/item?id=49753697" TargetMode="External"/><Relationship Id="rId102" Type="http://schemas.openxmlformats.org/officeDocument/2006/relationships/hyperlink" Target="https://news.ycombinator.com/item?id=48045237" TargetMode="External"/><Relationship Id="rId103" Type="http://schemas.openxmlformats.org/officeDocument/2006/relationships/hyperlink" Target="https://news.ycombinator.com/item?id=46255285" TargetMode="External"/><Relationship Id="rId104" Type="http://schemas.openxmlformats.org/officeDocument/2006/relationships/hyperlink" Target="https://news.ycombinator.com/item?id=48489109" TargetMode="External"/><Relationship Id="rId105" Type="http://schemas.openxmlformats.org/officeDocument/2006/relationships/hyperlink" Target="https://news.ycombinator.com/item?id=46106504" TargetMode="External"/><Relationship Id="rId106" Type="http://schemas.openxmlformats.org/officeDocument/2006/relationships/hyperlink" Target="https://news.ycombinator.com/item?id=47495510" TargetMode="External"/><Relationship Id="rId107" Type="http://schemas.openxmlformats.org/officeDocument/2006/relationships/hyperlink" Target="https://news.ycombinator.com/item?id=46689024" TargetMode="External"/><Relationship Id="rId108" Type="http://schemas.openxmlformats.org/officeDocument/2006/relationships/hyperlink" Target="https://news.ycombinator.com/item?id=46653311" TargetMode="External"/><Relationship Id="rId109" Type="http://schemas.openxmlformats.org/officeDocument/2006/relationships/hyperlink" Target="https://news.ycombinator.com/item?id=46028694" TargetMode="External"/><Relationship Id="rId110" Type="http://schemas.openxmlformats.org/officeDocument/2006/relationships/hyperlink" Target="https://news.ycombinator.com/item?id=46734194" TargetMode="External"/><Relationship Id="rId111" Type="http://schemas.openxmlformats.org/officeDocument/2006/relationships/hyperlink" Target="https://news.ycombinator.com/item?id=46940547" TargetMode="External"/><Relationship Id="rId112" Type="http://schemas.openxmlformats.org/officeDocument/2006/relationships/hyperlink" Target="https://news.ycombinator.com/item?id=46966307" TargetMode="External"/><Relationship Id="rId113" Type="http://schemas.openxmlformats.org/officeDocument/2006/relationships/hyperlink" Target="https://news.ycombinator.com/item?id=49438590" TargetMode="External"/><Relationship Id="rId114" Type="http://schemas.openxmlformats.org/officeDocument/2006/relationships/hyperlink" Target="https://news.ycombinator.com/item?id=47293234" TargetMode="External"/><Relationship Id="rId115" Type="http://schemas.openxmlformats.org/officeDocument/2006/relationships/hyperlink" Target="https://news.ycombinator.com/item?id=47107343" TargetMode="External"/><Relationship Id="rId116" Type="http://schemas.openxmlformats.org/officeDocument/2006/relationships/hyperlink" Target="https://news.ycombinator.com/item?id=46899540" TargetMode="External"/><Relationship Id="rId117" Type="http://schemas.openxmlformats.org/officeDocument/2006/relationships/hyperlink" Target="https://news.ycombinator.com/item?id=49741481" TargetMode="External"/><Relationship Id="rId118" Type="http://schemas.openxmlformats.org/officeDocument/2006/relationships/hyperlink" Target="https://news.ycombinator.com/item?id=46430143" TargetMode="External"/><Relationship Id="rId119" Type="http://schemas.openxmlformats.org/officeDocument/2006/relationships/hyperlink" Target="https://news.ycombinator.com/item?id=47139307" TargetMode="External"/><Relationship Id="rId120" Type="http://schemas.openxmlformats.org/officeDocument/2006/relationships/hyperlink" Target="https://news.ycombinator.com/item?id=45656208" TargetMode="External"/><Relationship Id="rId121" Type="http://schemas.openxmlformats.org/officeDocument/2006/relationships/hyperlink" Target="https://news.ycombinator.com/item?id=49635776" TargetMode="External"/><Relationship Id="rId122" Type="http://schemas.openxmlformats.org/officeDocument/2006/relationships/hyperlink" Target="https://news.ycombinator.com/item?id=46510489" TargetMode="External"/><Relationship Id="rId123" Type="http://schemas.openxmlformats.org/officeDocument/2006/relationships/hyperlink" Target="https://news.ycombinator.com/item?id=46197005" TargetMode="External"/><Relationship Id="rId124" Type="http://schemas.openxmlformats.org/officeDocument/2006/relationships/hyperlink" Target="https://news.ycombinator.com/item?id=46396889" TargetMode="External"/><Relationship Id="rId125" Type="http://schemas.openxmlformats.org/officeDocument/2006/relationships/hyperlink" Target="https://news.ycombinator.com/item?id=46976974" TargetMode="External"/><Relationship Id="rId126" Type="http://schemas.openxmlformats.org/officeDocument/2006/relationships/hyperlink" Target="https://news.ycombinator.com/item?id=48420827" TargetMode="External"/><Relationship Id="rId127" Type="http://schemas.openxmlformats.org/officeDocument/2006/relationships/hyperlink" Target="https://news.ycombinator.com/item?id=47958353" TargetMode="External"/><Relationship Id="rId128" Type="http://schemas.openxmlformats.org/officeDocument/2006/relationships/hyperlink" Target="https://news.ycombinator.com/item?id=46456400" TargetMode="External"/><Relationship Id="rId129" Type="http://schemas.openxmlformats.org/officeDocument/2006/relationships/hyperlink" Target="https://news.ycombinator.com/item?id=49078318" TargetMode="External"/><Relationship Id="rId130" Type="http://schemas.openxmlformats.org/officeDocument/2006/relationships/hyperlink" Target="https://news.ycombinator.com/item?id=46257486" TargetMode="External"/><Relationship Id="rId131" Type="http://schemas.openxmlformats.org/officeDocument/2006/relationships/hyperlink" Target="https://news.ycombinator.com/item?id=48410589" TargetMode="External"/><Relationship Id="rId132" Type="http://schemas.openxmlformats.org/officeDocument/2006/relationships/hyperlink" Target="https://news.ycombinator.com/item?id=48257711" TargetMode="External"/><Relationship Id="rId133" Type="http://schemas.openxmlformats.org/officeDocument/2006/relationships/hyperlink" Target="https://news.ycombinator.com/item?id=49447708" TargetMode="External"/><Relationship Id="rId134" Type="http://schemas.openxmlformats.org/officeDocument/2006/relationships/hyperlink" Target="https://news.ycombinator.com/item?id=46481814" TargetMode="External"/><Relationship Id="rId135" Type="http://schemas.openxmlformats.org/officeDocument/2006/relationships/hyperlink" Target="https://news.ycombinator.com/item?id=49037807" TargetMode="External"/><Relationship Id="rId136" Type="http://schemas.openxmlformats.org/officeDocument/2006/relationships/hyperlink" Target="https://news.ycombinator.com/item?id=48157980" TargetMode="External"/><Relationship Id="rId137" Type="http://schemas.openxmlformats.org/officeDocument/2006/relationships/hyperlink" Target="https://news.ycombinator.com/item?id=49385541" TargetMode="External"/><Relationship Id="rId138" Type="http://schemas.openxmlformats.org/officeDocument/2006/relationships/hyperlink" Target="https://news.ycombinator.com/item?id=46116193" TargetMode="External"/><Relationship Id="rId139" Type="http://schemas.openxmlformats.org/officeDocument/2006/relationships/hyperlink" Target="https://news.ycombinator.com/item?id=49692009" TargetMode="External"/><Relationship Id="rId140" Type="http://schemas.openxmlformats.org/officeDocument/2006/relationships/hyperlink" Target="https://news.ycombinator.com/item?id=48484306" TargetMode="External"/><Relationship Id="rId141" Type="http://schemas.openxmlformats.org/officeDocument/2006/relationships/hyperlink" Target="https://news.ycombinator.com/item?id=46620990" TargetMode="External"/><Relationship Id="rId142" Type="http://schemas.openxmlformats.org/officeDocument/2006/relationships/hyperlink" Target="https://news.ycombinator.com/item?id=46566103" TargetMode="External"/><Relationship Id="rId143" Type="http://schemas.openxmlformats.org/officeDocument/2006/relationships/hyperlink" Target="https://news.ycombinator.com/item?id=47676424" TargetMode="External"/><Relationship Id="rId144" Type="http://schemas.openxmlformats.org/officeDocument/2006/relationships/hyperlink" Target="https://news.ycombinator.com/item?id=46229700" TargetMode="External"/><Relationship Id="rId145" Type="http://schemas.openxmlformats.org/officeDocument/2006/relationships/hyperlink" Target="https://news.ycombinator.com/item?id=47104032" TargetMode="External"/><Relationship Id="rId146" Type="http://schemas.openxmlformats.org/officeDocument/2006/relationships/hyperlink" Target="https://news.ycombinator.com/item?id=48858598" TargetMode="External"/><Relationship Id="rId147" Type="http://schemas.openxmlformats.org/officeDocument/2006/relationships/hyperlink" Target="https://news.ycombinator.com/item?id=46403424" TargetMode="External"/><Relationship Id="rId148" Type="http://schemas.openxmlformats.org/officeDocument/2006/relationships/hyperlink" Target="https://news.ycombinator.com/item?id=46500565" TargetMode="External"/><Relationship Id="rId149" Type="http://schemas.openxmlformats.org/officeDocument/2006/relationships/hyperlink" Target="https://news.ycombinator.com/item?id=48485950" TargetMode="External"/><Relationship Id="rId150" Type="http://schemas.openxmlformats.org/officeDocument/2006/relationships/hyperlink" Target="https://news.ycombinator.com/item?id=46202423" TargetMode="External"/><Relationship Id="rId151" Type="http://schemas.openxmlformats.org/officeDocument/2006/relationships/hyperlink" Target="https://news.ycombinator.com/item?id=49261634" TargetMode="External"/><Relationship Id="rId152" Type="http://schemas.openxmlformats.org/officeDocument/2006/relationships/hyperlink" Target="https://news.ycombinator.com/item?id=48081266" TargetMode="External"/><Relationship Id="rId153" Type="http://schemas.openxmlformats.org/officeDocument/2006/relationships/hyperlink" Target="https://news.ycombinator.com/item?id=47971921" TargetMode="External"/><Relationship Id="rId154" Type="http://schemas.openxmlformats.org/officeDocument/2006/relationships/hyperlink" Target="https://news.ycombinator.com/item?id=47044900" TargetMode="External"/><Relationship Id="rId155" Type="http://schemas.openxmlformats.org/officeDocument/2006/relationships/hyperlink" Target="https://news.ycombinator.com/item?id=47326306" TargetMode="External"/><Relationship Id="rId156" Type="http://schemas.openxmlformats.org/officeDocument/2006/relationships/hyperlink" Target="https://news.ycombinator.com/item?id=46967391" TargetMode="External"/><Relationship Id="rId157" Type="http://schemas.openxmlformats.org/officeDocument/2006/relationships/hyperlink" Target="https://news.ycombinator.com/item?id=46068590" TargetMode="External"/><Relationship Id="rId158" Type="http://schemas.openxmlformats.org/officeDocument/2006/relationships/hyperlink" Target="https://news.ycombinator.com/item?id=48102861" TargetMode="External"/><Relationship Id="rId159" Type="http://schemas.openxmlformats.org/officeDocument/2006/relationships/hyperlink" Target="https://news.ycombinator.com/item?id=46386053" TargetMode="External"/><Relationship Id="rId160" Type="http://schemas.openxmlformats.org/officeDocument/2006/relationships/hyperlink" Target="https://news.ycombinator.com/item?id=46556624" TargetMode="External"/><Relationship Id="rId161" Type="http://schemas.openxmlformats.org/officeDocument/2006/relationships/hyperlink" Target="https://news.ycombinator.com/item?id=45501394" TargetMode="External"/><Relationship Id="rId162" Type="http://schemas.openxmlformats.org/officeDocument/2006/relationships/hyperlink" Target="https://news.ycombinator.com/item?id=46624067" TargetMode="External"/><Relationship Id="rId163" Type="http://schemas.openxmlformats.org/officeDocument/2006/relationships/hyperlink" Target="https://news.ycombinator.com/item?id=46231100" TargetMode="External"/><Relationship Id="rId164" Type="http://schemas.openxmlformats.org/officeDocument/2006/relationships/hyperlink" Target="https://news.ycombinator.com/item?id=45931825" TargetMode="External"/><Relationship Id="rId165" Type="http://schemas.openxmlformats.org/officeDocument/2006/relationships/hyperlink" Target="https://news.ycombinator.com/item?id=49085002" TargetMode="External"/><Relationship Id="rId166" Type="http://schemas.openxmlformats.org/officeDocument/2006/relationships/hyperlink" Target="https://news.ycombinator.com/item?id=46936175" TargetMode="External"/><Relationship Id="rId167" Type="http://schemas.openxmlformats.org/officeDocument/2006/relationships/hyperlink" Target="https://news.ycombinator.com/item?id=47262097" TargetMode="External"/><Relationship Id="rId168" Type="http://schemas.openxmlformats.org/officeDocument/2006/relationships/hyperlink" Target="https://news.ycombinator.com/item?id=45814032" TargetMode="External"/><Relationship Id="rId169" Type="http://schemas.openxmlformats.org/officeDocument/2006/relationships/hyperlink" Target="https://news.ycombinator.com/item?id=45515482" TargetMode="External"/><Relationship Id="rId170" Type="http://schemas.openxmlformats.org/officeDocument/2006/relationships/hyperlink" Target="https://news.ycombinator.com/item?id=45491604" TargetMode="External"/><Relationship Id="rId171" Type="http://schemas.openxmlformats.org/officeDocument/2006/relationships/hyperlink" Target="https://news.ycombinator.com/item?id=49589914" TargetMode="External"/><Relationship Id="rId172" Type="http://schemas.openxmlformats.org/officeDocument/2006/relationships/hyperlink" Target="https://news.ycombinator.com/item?id=47973939" TargetMode="External"/><Relationship Id="rId173" Type="http://schemas.openxmlformats.org/officeDocument/2006/relationships/hyperlink" Target="https://news.ycombinator.com/item?id=47380940" TargetMode="External"/><Relationship Id="rId174" Type="http://schemas.openxmlformats.org/officeDocument/2006/relationships/hyperlink" Target="https://news.ycombinator.com/item?id=49376007" TargetMode="External"/><Relationship Id="rId175" Type="http://schemas.openxmlformats.org/officeDocument/2006/relationships/hyperlink" Target="https://news.ycombinator.com/item?id=47171042" TargetMode="External"/><Relationship Id="rId176" Type="http://schemas.openxmlformats.org/officeDocument/2006/relationships/hyperlink" Target="https://news.ycombinator.com/item?id=46909124" TargetMode="External"/><Relationship Id="rId177" Type="http://schemas.openxmlformats.org/officeDocument/2006/relationships/hyperlink" Target="https://news.ycombinator.com/item?id=46576137" TargetMode="External"/><Relationship Id="rId178" Type="http://schemas.openxmlformats.org/officeDocument/2006/relationships/hyperlink" Target="https://news.ycombinator.com/item?id=47388256" TargetMode="External"/><Relationship Id="rId179" Type="http://schemas.openxmlformats.org/officeDocument/2006/relationships/hyperlink" Target="https://news.ycombinator.com/item?id=47320561" TargetMode="External"/><Relationship Id="rId180" Type="http://schemas.openxmlformats.org/officeDocument/2006/relationships/hyperlink" Target="https://news.ycombinator.com/item?id=46030857" TargetMode="External"/><Relationship Id="rId181" Type="http://schemas.openxmlformats.org/officeDocument/2006/relationships/hyperlink" Target="https://news.ycombinator.com/item?id=46333430" TargetMode="External"/><Relationship Id="rId182" Type="http://schemas.openxmlformats.org/officeDocument/2006/relationships/hyperlink" Target="https://news.ycombinator.com/item?id=46177352" TargetMode="External"/><Relationship Id="rId183" Type="http://schemas.openxmlformats.org/officeDocument/2006/relationships/hyperlink" Target="https://news.ycombinator.com/item?id=47443390" TargetMode="External"/><Relationship Id="rId184" Type="http://schemas.openxmlformats.org/officeDocument/2006/relationships/hyperlink" Target="https://news.ycombinator.com/item?id=49525527" TargetMode="External"/><Relationship Id="rId185" Type="http://schemas.openxmlformats.org/officeDocument/2006/relationships/hyperlink" Target="https://news.ycombinator.com/item?id=48345691" TargetMode="External"/><Relationship Id="rId186" Type="http://schemas.openxmlformats.org/officeDocument/2006/relationships/hyperlink" Target="https://news.ycombinator.com/item?id=45527869" TargetMode="External"/><Relationship Id="rId187" Type="http://schemas.openxmlformats.org/officeDocument/2006/relationships/hyperlink" Target="https://news.ycombinator.com/item?id=48447950" TargetMode="External"/><Relationship Id="rId188" Type="http://schemas.openxmlformats.org/officeDocument/2006/relationships/hyperlink" Target="https://news.ycombinator.com/item?id=45903347" TargetMode="External"/><Relationship Id="rId189" Type="http://schemas.openxmlformats.org/officeDocument/2006/relationships/hyperlink" Target="https://news.ycombinator.com/item?id=48439240" TargetMode="External"/><Relationship Id="rId190" Type="http://schemas.openxmlformats.org/officeDocument/2006/relationships/hyperlink" Target="https://news.ycombinator.com/item?id=47615145" TargetMode="External"/><Relationship Id="rId191" Type="http://schemas.openxmlformats.org/officeDocument/2006/relationships/hyperlink" Target="https://news.ycombinator.com/item?id=49910250" TargetMode="External"/><Relationship Id="rId192" Type="http://schemas.openxmlformats.org/officeDocument/2006/relationships/hyperlink" Target="https://news.ycombinator.com/item?id=46516080" TargetMode="External"/><Relationship Id="rId193" Type="http://schemas.openxmlformats.org/officeDocument/2006/relationships/hyperlink" Target="https://news.ycombinator.com/item?id=49027099" TargetMode="External"/><Relationship Id="rId194" Type="http://schemas.openxmlformats.org/officeDocument/2006/relationships/hyperlink" Target="https://news.ycombinator.com/item?id=46988086" TargetMode="External"/><Relationship Id="rId195" Type="http://schemas.openxmlformats.org/officeDocument/2006/relationships/hyperlink" Target="https://news.ycombinator.com/item?id=49790384" TargetMode="External"/><Relationship Id="rId196" Type="http://schemas.openxmlformats.org/officeDocument/2006/relationships/hyperlink" Target="https://news.ycombinator.com/item?id=48730492" TargetMode="External"/><Relationship Id="rId197" Type="http://schemas.openxmlformats.org/officeDocument/2006/relationships/hyperlink" Target="https://news.ycombinator.com/item?id=46710403" TargetMode="External"/><Relationship Id="rId198" Type="http://schemas.openxmlformats.org/officeDocument/2006/relationships/hyperlink" Target="https://news.ycombinator.com/item?id=46564934" TargetMode="External"/><Relationship Id="rId199" Type="http://schemas.openxmlformats.org/officeDocument/2006/relationships/hyperlink" Target="https://news.ycombinator.com/item?id=47274567" TargetMode="External"/><Relationship Id="rId200" Type="http://schemas.openxmlformats.org/officeDocument/2006/relationships/hyperlink" Target="https://news.ycombinator.com/item?id=48221788" TargetMode="External"/><Relationship Id="rId201" Type="http://schemas.openxmlformats.org/officeDocument/2006/relationships/hyperlink" Target="https://news.ycombinator.com/item?id=48166158" TargetMode="External"/><Relationship Id="rId202" Type="http://schemas.openxmlformats.org/officeDocument/2006/relationships/hyperlink" Target="https://news.ycombinator.com/item?id=48096061" TargetMode="External"/><Relationship Id="rId203" Type="http://schemas.openxmlformats.org/officeDocument/2006/relationships/hyperlink" Target="https://news.ycombinator.com/item?id=48275546" TargetMode="External"/><Relationship Id="rId204" Type="http://schemas.openxmlformats.org/officeDocument/2006/relationships/hyperlink" Target="https://news.ycombinator.com/item?id=47088339" TargetMode="External"/><Relationship Id="rId205" Type="http://schemas.openxmlformats.org/officeDocument/2006/relationships/hyperlink" Target="https://news.ycombinator.com/item?id=47666811" TargetMode="External"/><Relationship Id="rId206" Type="http://schemas.openxmlformats.org/officeDocument/2006/relationships/hyperlink" Target="https://news.ycombinator.com/item?id=49308990" TargetMode="External"/><Relationship Id="rId207" Type="http://schemas.openxmlformats.org/officeDocument/2006/relationships/hyperlink" Target="https://news.ycombinator.com/item?id=47092547" TargetMode="External"/><Relationship Id="rId208" Type="http://schemas.openxmlformats.org/officeDocument/2006/relationships/hyperlink" Target="https://news.ycombinator.com/item?id=48721165" TargetMode="External"/><Relationship Id="rId209" Type="http://schemas.openxmlformats.org/officeDocument/2006/relationships/hyperlink" Target="https://news.ycombinator.com/item?id=49055813" TargetMode="External"/><Relationship Id="rId210" Type="http://schemas.openxmlformats.org/officeDocument/2006/relationships/hyperlink" Target="https://news.ycombinator.com/item?id=45776002" TargetMode="External"/><Relationship Id="rId211" Type="http://schemas.openxmlformats.org/officeDocument/2006/relationships/hyperlink" Target="https://news.ycombinator.com/item?id=46487082" TargetMode="External"/><Relationship Id="rId212" Type="http://schemas.openxmlformats.org/officeDocument/2006/relationships/hyperlink" Target="https://news.ycombinator.com/item?id=46445152" TargetMode="External"/><Relationship Id="rId213" Type="http://schemas.openxmlformats.org/officeDocument/2006/relationships/hyperlink" Target="https://news.ycombinator.com/item?id=45670817" TargetMode="External"/><Relationship Id="rId214" Type="http://schemas.openxmlformats.org/officeDocument/2006/relationships/hyperlink" Target="https://news.ycombinator.com/item?id=47689759" TargetMode="External"/><Relationship Id="rId215" Type="http://schemas.openxmlformats.org/officeDocument/2006/relationships/hyperlink" Target="https://news.ycombinator.com/item?id=46279773" TargetMode="External"/><Relationship Id="rId216" Type="http://schemas.openxmlformats.org/officeDocument/2006/relationships/hyperlink" Target="https://news.ycombinator.com/item?id=48934898" TargetMode="External"/><Relationship Id="rId217" Type="http://schemas.openxmlformats.org/officeDocument/2006/relationships/hyperlink" Target="https://news.ycombinator.com/item?id=48430217" TargetMode="External"/><Relationship Id="rId218" Type="http://schemas.openxmlformats.org/officeDocument/2006/relationships/hyperlink" Target="https://news.ycombinator.com/item?id=47675507" TargetMode="External"/><Relationship Id="rId219" Type="http://schemas.openxmlformats.org/officeDocument/2006/relationships/hyperlink" Target="https://news.ycombinator.com/item?id=48368918" TargetMode="External"/><Relationship Id="rId220" Type="http://schemas.openxmlformats.org/officeDocument/2006/relationships/hyperlink" Target="https://news.ycombinator.com/item?id=47486587" TargetMode="External"/><Relationship Id="rId221" Type="http://schemas.openxmlformats.org/officeDocument/2006/relationships/hyperlink" Target="https://news.ycombinator.com/item?id=47219084" TargetMode="External"/><Relationship Id="rId222" Type="http://schemas.openxmlformats.org/officeDocument/2006/relationships/hyperlink" Target="https://news.ycombinator.com/item?id=47814636" TargetMode="External"/><Relationship Id="rId223" Type="http://schemas.openxmlformats.org/officeDocument/2006/relationships/hyperlink" Target="https://news.ycombinator.com/item?id=46252408" TargetMode="External"/><Relationship Id="rId224" Type="http://schemas.openxmlformats.org/officeDocument/2006/relationships/hyperlink" Target="https://news.ycombinator.com/item?id=46726310" TargetMode="External"/><Relationship Id="rId225" Type="http://schemas.openxmlformats.org/officeDocument/2006/relationships/hyperlink" Target="https://news.ycombinator.com/item?id=47427207" TargetMode="External"/><Relationship Id="rId226" Type="http://schemas.openxmlformats.org/officeDocument/2006/relationships/hyperlink" Target="https://news.ycombinator.com/item?id=49937618" TargetMode="External"/><Relationship Id="rId227" Type="http://schemas.openxmlformats.org/officeDocument/2006/relationships/hyperlink" Target="https://news.ycombinator.com/item?id=46892700" TargetMode="External"/><Relationship Id="rId228" Type="http://schemas.openxmlformats.org/officeDocument/2006/relationships/hyperlink" Target="https://news.ycombinator.com/item?id=47137029" TargetMode="External"/><Relationship Id="rId229" Type="http://schemas.openxmlformats.org/officeDocument/2006/relationships/hyperlink" Target="https://news.ycombinator.com/item?id=47033705" TargetMode="External"/><Relationship Id="rId230" Type="http://schemas.openxmlformats.org/officeDocument/2006/relationships/hyperlink" Target="https://news.ycombinator.com/item?id=49903139" TargetMode="External"/><Relationship Id="rId231" Type="http://schemas.openxmlformats.org/officeDocument/2006/relationships/hyperlink" Target="https://news.ycombinator.com/item?id=48846461" TargetMode="External"/><Relationship Id="rId232" Type="http://schemas.openxmlformats.org/officeDocument/2006/relationships/hyperlink" Target="https://news.ycombinator.com/item?id=47484047" TargetMode="External"/><Relationship Id="rId233" Type="http://schemas.openxmlformats.org/officeDocument/2006/relationships/hyperlink" Target="https://news.ycombinator.com/item?id=46160226" TargetMode="External"/><Relationship Id="rId234" Type="http://schemas.openxmlformats.org/officeDocument/2006/relationships/hyperlink" Target="https://news.ycombinator.com/item?id=45514314" TargetMode="External"/><Relationship Id="rId235" Type="http://schemas.openxmlformats.org/officeDocument/2006/relationships/hyperlink" Target="https://news.ycombinator.com/item?id=48705434" TargetMode="External"/><Relationship Id="rId236" Type="http://schemas.openxmlformats.org/officeDocument/2006/relationships/hyperlink" Target="https://news.ycombinator.com/item?id=48861113" TargetMode="External"/><Relationship Id="rId237" Type="http://schemas.openxmlformats.org/officeDocument/2006/relationships/hyperlink" Target="https://news.ycombinator.com/item?id=49371653" TargetMode="External"/><Relationship Id="rId238" Type="http://schemas.openxmlformats.org/officeDocument/2006/relationships/hyperlink" Target="https://news.ycombinator.com/item?id=46886775" TargetMode="External"/><Relationship Id="rId239" Type="http://schemas.openxmlformats.org/officeDocument/2006/relationships/hyperlink" Target="https://news.ycombinator.com/item?id=47256614" TargetMode="External"/><Relationship Id="rId240" Type="http://schemas.openxmlformats.org/officeDocument/2006/relationships/hyperlink" Target="https://news.ycombinator.com/item?id=48301850" TargetMode="External"/><Relationship Id="rId241" Type="http://schemas.openxmlformats.org/officeDocument/2006/relationships/hyperlink" Target="https://news.ycombinator.com/item?id=46642593" TargetMode="External"/><Relationship Id="rId242" Type="http://schemas.openxmlformats.org/officeDocument/2006/relationships/hyperlink" Target="https://news.ycombinator.com/item?id=46475587" TargetMode="External"/><Relationship Id="rId243" Type="http://schemas.openxmlformats.org/officeDocument/2006/relationships/hyperlink" Target="https://news.ycombinator.com/item?id=47518670" TargetMode="External"/><Relationship Id="rId244" Type="http://schemas.openxmlformats.org/officeDocument/2006/relationships/hyperlink" Target="https://news.ycombinator.com/item?id=47636933" TargetMode="External"/><Relationship Id="rId245" Type="http://schemas.openxmlformats.org/officeDocument/2006/relationships/hyperlink" Target="https://news.ycombinator.com/item?id=46112589" TargetMode="External"/><Relationship Id="rId246" Type="http://schemas.openxmlformats.org/officeDocument/2006/relationships/hyperlink" Target="https://news.ycombinator.com/item?id=48136636" TargetMode="External"/><Relationship Id="rId247" Type="http://schemas.openxmlformats.org/officeDocument/2006/relationships/hyperlink" Target="https://news.ycombinator.com/item?id=49663205" TargetMode="External"/><Relationship Id="rId248" Type="http://schemas.openxmlformats.org/officeDocument/2006/relationships/hyperlink" Target="https://news.ycombinator.com/item?id=47004068" TargetMode="External"/><Relationship Id="rId249" Type="http://schemas.openxmlformats.org/officeDocument/2006/relationships/hyperlink" Target="https://news.ycombinator.com/item?id=48376612" TargetMode="External"/><Relationship Id="rId250" Type="http://schemas.openxmlformats.org/officeDocument/2006/relationships/hyperlink" Target="https://news.ycombinator.com/item?id=47850155" TargetMode="External"/><Relationship Id="rId251" Type="http://schemas.openxmlformats.org/officeDocument/2006/relationships/hyperlink" Target="https://news.ycombinator.com/item?id=49509410" TargetMode="External"/><Relationship Id="rId252" Type="http://schemas.openxmlformats.org/officeDocument/2006/relationships/hyperlink" Target="https://news.ycombinator.com/item?id=49141048" TargetMode="External"/><Relationship Id="rId253" Type="http://schemas.openxmlformats.org/officeDocument/2006/relationships/hyperlink" Target="https://news.ycombinator.com/item?id=46175024" TargetMode="External"/><Relationship Id="rId254" Type="http://schemas.openxmlformats.org/officeDocument/2006/relationships/hyperlink" Target="https://news.ycombinator.com/item?id=47064557" TargetMode="External"/><Relationship Id="rId255" Type="http://schemas.openxmlformats.org/officeDocument/2006/relationships/hyperlink" Target="https://news.ycombinator.com/item?id=46773926" TargetMode="External"/><Relationship Id="rId256" Type="http://schemas.openxmlformats.org/officeDocument/2006/relationships/hyperlink" Target="https://news.ycombinator.com/item?id=46657263" TargetMode="External"/><Relationship Id="rId257" Type="http://schemas.openxmlformats.org/officeDocument/2006/relationships/hyperlink" Target="https://news.ycombinator.com/item?id=46499216" TargetMode="External"/><Relationship Id="rId258" Type="http://schemas.openxmlformats.org/officeDocument/2006/relationships/hyperlink" Target="https://news.ycombinator.com/item?id=47419716" TargetMode="External"/><Relationship Id="rId259" Type="http://schemas.openxmlformats.org/officeDocument/2006/relationships/hyperlink" Target="https://news.ycombinator.com/item?id=46368913" TargetMode="External"/><Relationship Id="rId260" Type="http://schemas.openxmlformats.org/officeDocument/2006/relationships/hyperlink" Target="https://news.ycombinator.com/item?id=48826680" TargetMode="External"/><Relationship Id="rId261" Type="http://schemas.openxmlformats.org/officeDocument/2006/relationships/hyperlink" Target="https://news.ycombinator.com/item?id=46827004" TargetMode="External"/><Relationship Id="rId262" Type="http://schemas.openxmlformats.org/officeDocument/2006/relationships/hyperlink" Target="https://news.ycombinator.com/item?id=45791605" TargetMode="External"/><Relationship Id="rId263" Type="http://schemas.openxmlformats.org/officeDocument/2006/relationships/hyperlink" Target="https://news.ycombinator.com/item?id=47641994" TargetMode="External"/><Relationship Id="rId264" Type="http://schemas.openxmlformats.org/officeDocument/2006/relationships/hyperlink" Target="https://news.ycombinator.com/item?id=49941972" TargetMode="External"/><Relationship Id="rId265" Type="http://schemas.openxmlformats.org/officeDocument/2006/relationships/hyperlink" Target="https://news.ycombinator.com/item?id=46455842" TargetMode="External"/><Relationship Id="rId266" Type="http://schemas.openxmlformats.org/officeDocument/2006/relationships/hyperlink" Target="https://news.ycombinator.com/item?id=45552836" TargetMode="External"/><Relationship Id="rId267" Type="http://schemas.openxmlformats.org/officeDocument/2006/relationships/hyperlink" Target="https://news.ycombinator.com/item?id=49309061" TargetMode="External"/><Relationship Id="rId268" Type="http://schemas.openxmlformats.org/officeDocument/2006/relationships/hyperlink" Target="https://news.ycombinator.com/item?id=46781700" TargetMode="External"/><Relationship Id="rId269" Type="http://schemas.openxmlformats.org/officeDocument/2006/relationships/hyperlink" Target="https://news.ycombinator.com/item?id=45796787" TargetMode="External"/><Relationship Id="rId270" Type="http://schemas.openxmlformats.org/officeDocument/2006/relationships/hyperlink" Target="https://news.ycombinator.com/item?id=47977081" TargetMode="External"/><Relationship Id="rId271" Type="http://schemas.openxmlformats.org/officeDocument/2006/relationships/hyperlink" Target="https://news.ycombinator.com/item?id=46494594" TargetMode="External"/><Relationship Id="rId272" Type="http://schemas.openxmlformats.org/officeDocument/2006/relationships/hyperlink" Target="https://news.ycombinator.com/item?id=46331013" TargetMode="External"/><Relationship Id="rId273" Type="http://schemas.openxmlformats.org/officeDocument/2006/relationships/hyperlink" Target="https://news.ycombinator.com/item?id=45987539" TargetMode="External"/><Relationship Id="rId274" Type="http://schemas.openxmlformats.org/officeDocument/2006/relationships/hyperlink" Target="https://news.ycombinator.com/item?id=49746527" TargetMode="External"/><Relationship Id="rId275" Type="http://schemas.openxmlformats.org/officeDocument/2006/relationships/hyperlink" Target="https://news.ycombinator.com/item?id=49477766" TargetMode="External"/><Relationship Id="rId276" Type="http://schemas.openxmlformats.org/officeDocument/2006/relationships/hyperlink" Target="https://news.ycombinator.com/item?id=49559724" TargetMode="External"/><Relationship Id="rId277" Type="http://schemas.openxmlformats.org/officeDocument/2006/relationships/hyperlink" Target="https://news.ycombinator.com/item?id=46304548" TargetMode="External"/><Relationship Id="rId278" Type="http://schemas.openxmlformats.org/officeDocument/2006/relationships/hyperlink" Target="https://news.ycombinator.com/item?id=46736479" TargetMode="External"/><Relationship Id="rId279" Type="http://schemas.openxmlformats.org/officeDocument/2006/relationships/hyperlink" Target="https://news.ycombinator.com/item?id=48463964" TargetMode="External"/><Relationship Id="rId280" Type="http://schemas.openxmlformats.org/officeDocument/2006/relationships/hyperlink" Target="https://news.ycombinator.com/item?id=45539917" TargetMode="External"/><Relationship Id="rId281" Type="http://schemas.openxmlformats.org/officeDocument/2006/relationships/hyperlink" Target="https://news.ycombinator.com/item?id=49848927" TargetMode="External"/><Relationship Id="rId282" Type="http://schemas.openxmlformats.org/officeDocument/2006/relationships/hyperlink" Target="https://news.ycombinator.com/item?id=46553751" TargetMode="External"/><Relationship Id="rId283" Type="http://schemas.openxmlformats.org/officeDocument/2006/relationships/hyperlink" Target="https://news.ycombinator.com/item?id=47697780" TargetMode="External"/><Relationship Id="rId284" Type="http://schemas.openxmlformats.org/officeDocument/2006/relationships/hyperlink" Target="https://news.ycombinator.com/item?id=46936722" TargetMode="External"/><Relationship Id="rId285" Type="http://schemas.openxmlformats.org/officeDocument/2006/relationships/hyperlink" Target="https://news.ycombinator.com/item?id=47517440" TargetMode="External"/><Relationship Id="rId286" Type="http://schemas.openxmlformats.org/officeDocument/2006/relationships/hyperlink" Target="https://news.ycombinator.com/item?id=45531777" TargetMode="External"/><Relationship Id="rId287" Type="http://schemas.openxmlformats.org/officeDocument/2006/relationships/hyperlink" Target="https://news.ycombinator.com/item?id=48878654" TargetMode="External"/><Relationship Id="rId288" Type="http://schemas.openxmlformats.org/officeDocument/2006/relationships/hyperlink" Target="https://news.ycombinator.com/item?id=45613998" TargetMode="External"/><Relationship Id="rId289" Type="http://schemas.openxmlformats.org/officeDocument/2006/relationships/hyperlink" Target="https://news.ycombinator.com/item?id=45654501" TargetMode="External"/><Relationship Id="rId290" Type="http://schemas.openxmlformats.org/officeDocument/2006/relationships/hyperlink" Target="https://news.ycombinator.com/item?id=48830372" TargetMode="External"/><Relationship Id="rId291" Type="http://schemas.openxmlformats.org/officeDocument/2006/relationships/hyperlink" Target="https://news.ycombinator.com/item?id=47223001" TargetMode="External"/><Relationship Id="rId292" Type="http://schemas.openxmlformats.org/officeDocument/2006/relationships/hyperlink" Target="https://news.ycombinator.com/item?id=49006537" TargetMode="External"/><Relationship Id="rId293" Type="http://schemas.openxmlformats.org/officeDocument/2006/relationships/hyperlink" Target="https://news.ycombinator.com/item?id=45749594" TargetMode="External"/><Relationship Id="rId294" Type="http://schemas.openxmlformats.org/officeDocument/2006/relationships/hyperlink" Target="https://news.ycombinator.com/item?id=48592531" TargetMode="External"/><Relationship Id="rId295" Type="http://schemas.openxmlformats.org/officeDocument/2006/relationships/hyperlink" Target="https://news.ycombinator.com/item?id=47756701" TargetMode="External"/><Relationship Id="rId296" Type="http://schemas.openxmlformats.org/officeDocument/2006/relationships/hyperlink" Target="https://news.ycombinator.com/item?id=46764607" TargetMode="External"/><Relationship Id="rId297" Type="http://schemas.openxmlformats.org/officeDocument/2006/relationships/hyperlink" Target="https://news.ycombinator.com/item?id=49523682" TargetMode="External"/><Relationship Id="rId298" Type="http://schemas.openxmlformats.org/officeDocument/2006/relationships/hyperlink" Target="https://news.ycombinator.com/item?id=48817095" TargetMode="External"/><Relationship Id="rId299" Type="http://schemas.openxmlformats.org/officeDocument/2006/relationships/hyperlink" Target="https://news.ycombinator.com/item?id=48349760" TargetMode="External"/><Relationship Id="rId300" Type="http://schemas.openxmlformats.org/officeDocument/2006/relationships/hyperlink" Target="https://news.ycombinator.com/item?id=48607507" TargetMode="External"/><Relationship Id="rId301" Type="http://schemas.openxmlformats.org/officeDocument/2006/relationships/hyperlink" Target="https://news.ycombinator.com/item?id=46392217" TargetMode="External"/><Relationship Id="rId302" Type="http://schemas.openxmlformats.org/officeDocument/2006/relationships/hyperlink" Target="https://news.ycombinator.com/item?id=48514684" TargetMode="External"/><Relationship Id="rId303" Type="http://schemas.openxmlformats.org/officeDocument/2006/relationships/hyperlink" Target="https://news.ycombinator.com/item?id=47069597" TargetMode="External"/><Relationship Id="rId304" Type="http://schemas.openxmlformats.org/officeDocument/2006/relationships/hyperlink" Target="https://news.ycombinator.com/item?id=46010741" TargetMode="External"/><Relationship Id="rId305" Type="http://schemas.openxmlformats.org/officeDocument/2006/relationships/hyperlink" Target="https://news.ycombinator.com/item?id=47001486" TargetMode="External"/><Relationship Id="rId306" Type="http://schemas.openxmlformats.org/officeDocument/2006/relationships/hyperlink" Target="https://news.ycombinator.com/item?id=48140859" TargetMode="External"/><Relationship Id="rId307" Type="http://schemas.openxmlformats.org/officeDocument/2006/relationships/hyperlink" Target="https://news.ycombinator.com/item?id=47914594" TargetMode="External"/><Relationship Id="rId308" Type="http://schemas.openxmlformats.org/officeDocument/2006/relationships/hyperlink" Target="https://news.ycombinator.com/item?id=49150911" TargetMode="External"/><Relationship Id="rId309" Type="http://schemas.openxmlformats.org/officeDocument/2006/relationships/hyperlink" Target="https://news.ycombinator.com/item?id=48098282" TargetMode="External"/><Relationship Id="rId310" Type="http://schemas.openxmlformats.org/officeDocument/2006/relationships/hyperlink" Target="https://news.ycombinator.com/item?id=4878515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9"/>
  <sheetViews>
    <sheetView workbookViewId="0">
      <pane xSplit="3" ySplit="4" topLeftCell="D5" activePane="bottomRight" state="frozen"/>
      <selection pane="bottomRight"/>
    </sheetView>
  </sheetViews>
  <sheetFormatPr defaultRowHeight="15" outlineLevelRow="0" outlineLevelCol="0" x14ac:dyDescent="55"/>
  <cols>
    <col min="1" max="1" width="5" customWidth="1"/>
    <col min="2" max="2" width="13" customWidth="1"/>
    <col min="3" max="3" width="60" customWidth="1"/>
    <col min="4" max="6" width="7" customWidth="1"/>
    <col min="7" max="7" width="8" customWidth="1"/>
    <col min="9" max="10" width="8" customWidth="1"/>
    <col min="12" max="12" width="8" customWidth="1"/>
    <col min="13" max="13" width="11" customWidth="1"/>
    <col min="15" max="15" width="30" customWidth="1"/>
    <col min="16" max="16" width="10" customWidth="1"/>
    <col min="18" max="19" width="10" customWidth="1"/>
    <col min="20" max="21" width="11" customWidth="1"/>
    <col min="22" max="22" width="18" customWidth="1"/>
    <col min="23" max="25" width="11" customWidth="1"/>
    <col min="26" max="26" width="45" customWidth="1"/>
  </cols>
  <sheetData>
    <row r="1" spans="1:1" x14ac:dyDescent="0.25">
      <c r="A1" s="1" t="s">
        <v>0</v>
      </c>
    </row>
    <row r="2" ht="42" customHeight="1" spans="1:26" x14ac:dyDescent="0.25">
      <c r="A2" s="2" t="s">
        <v>1</v>
      </c>
      <c r="B2" s="2"/>
      <c r="C2" s="2"/>
      <c r="D2" s="2"/>
      <c r="E2" s="2"/>
      <c r="F2" s="2"/>
      <c r="G2" s="2"/>
      <c r="H2" s="2"/>
      <c r="I2" s="2"/>
      <c r="J2" s="2"/>
      <c r="K2" s="2"/>
      <c r="L2" s="2"/>
      <c r="M2" s="2"/>
      <c r="N2" s="2"/>
      <c r="O2" s="2"/>
      <c r="P2" s="2"/>
      <c r="Q2" s="2"/>
      <c r="R2" s="2"/>
      <c r="S2" s="2"/>
      <c r="T2" s="2"/>
      <c r="U2" s="2"/>
      <c r="V2" s="2"/>
      <c r="W2" s="2"/>
      <c r="X2" s="2"/>
      <c r="Y2" s="2"/>
      <c r="Z2" s="2"/>
    </row>
    <row r="3" spans="1:26" x14ac:dyDescent="0.25">
      <c r="A3" s="3" t="s">
        <v>2</v>
      </c>
      <c r="B3" s="3"/>
      <c r="C3" s="3"/>
      <c r="D3" s="3"/>
      <c r="E3" s="3"/>
      <c r="F3" s="3"/>
      <c r="G3" s="3"/>
      <c r="H3" s="3"/>
      <c r="I3" s="3"/>
      <c r="J3" s="3"/>
      <c r="K3" s="3"/>
      <c r="L3" s="3"/>
      <c r="M3" s="3"/>
      <c r="N3" s="3"/>
      <c r="O3" s="3"/>
      <c r="P3" s="3"/>
      <c r="Q3" s="3"/>
      <c r="R3" s="3"/>
      <c r="S3" s="3"/>
      <c r="T3" s="3"/>
      <c r="U3" s="3"/>
      <c r="V3" s="3"/>
      <c r="W3" s="3"/>
      <c r="X3" s="3"/>
      <c r="Y3" s="3"/>
      <c r="Z3" s="3"/>
    </row>
    <row r="4" ht="30" customHeight="1" spans="1:26" x14ac:dyDescent="0.25">
      <c r="A4" s="4" t="s">
        <v>3</v>
      </c>
      <c r="B4" s="4" t="s">
        <v>4</v>
      </c>
      <c r="C4" s="4" t="s">
        <v>5</v>
      </c>
      <c r="D4" s="4" t="s">
        <v>6</v>
      </c>
      <c r="E4" s="4" t="s">
        <v>7</v>
      </c>
      <c r="F4" s="4" t="s">
        <v>8</v>
      </c>
      <c r="G4" s="4" t="s">
        <v>9</v>
      </c>
      <c r="H4" s="4" t="s">
        <v>10</v>
      </c>
      <c r="I4" s="4" t="s">
        <v>11</v>
      </c>
      <c r="J4" s="4" t="s">
        <v>12</v>
      </c>
      <c r="K4" s="4" t="s">
        <v>13</v>
      </c>
      <c r="L4" s="4" t="s">
        <v>14</v>
      </c>
      <c r="M4" s="4" t="s">
        <v>15</v>
      </c>
      <c r="N4" s="4" t="s">
        <v>16</v>
      </c>
      <c r="O4" s="4" t="s">
        <v>17</v>
      </c>
      <c r="P4" s="4" t="s">
        <v>18</v>
      </c>
      <c r="Q4" s="4" t="s">
        <v>19</v>
      </c>
      <c r="R4" s="4" t="s">
        <v>20</v>
      </c>
      <c r="S4" s="4" t="s">
        <v>21</v>
      </c>
      <c r="T4" s="4" t="s">
        <v>22</v>
      </c>
      <c r="U4" s="4" t="s">
        <v>23</v>
      </c>
      <c r="V4" s="4" t="s">
        <v>24</v>
      </c>
      <c r="W4" s="4" t="s">
        <v>25</v>
      </c>
      <c r="X4" s="4" t="s">
        <v>26</v>
      </c>
      <c r="Y4" s="4" t="s">
        <v>27</v>
      </c>
      <c r="Z4" s="4" t="s">
        <v>28</v>
      </c>
    </row>
    <row r="5" spans="1:26" x14ac:dyDescent="0.25">
      <c r="A5" s="5">
        <v>1</v>
      </c>
      <c r="B5" s="5" t="s">
        <v>29</v>
      </c>
      <c r="C5" s="6" t="s">
        <v>30</v>
      </c>
      <c r="D5" s="7" t="s">
        <v>31</v>
      </c>
      <c r="E5" s="5">
        <v>1</v>
      </c>
      <c r="F5" s="5">
        <v>2</v>
      </c>
      <c r="G5" s="5">
        <v>2</v>
      </c>
      <c r="H5" s="5">
        <v>3</v>
      </c>
      <c r="I5" s="5">
        <v>3</v>
      </c>
      <c r="J5" s="5">
        <v>3</v>
      </c>
      <c r="K5" s="5">
        <v>3</v>
      </c>
      <c r="L5" s="8">
        <f>SUM(F5:K5)</f>
      </c>
      <c r="M5" s="5">
        <f>IF(AND(T5="pass",U5="pass",V5="pass",W5="pass",COUNTIF(F5:K5,"unsupported")=0),"Shortlist","Review")</f>
      </c>
      <c r="N5" s="9"/>
      <c r="O5" s="10"/>
      <c r="P5" s="5">
        <f>(E5&lt;&gt;'Score reasons'!C2)+(F5&lt;&gt;'Score reasons'!F2)+(G5&lt;&gt;'Score reasons'!I2)+(H5&lt;&gt;'Score reasons'!L2)+(I5&lt;&gt;'Score reasons'!O2)+(J5&lt;&gt;'Score reasons'!R2)+(K5&lt;&gt;'Score reasons'!U2)</f>
      </c>
      <c r="Q5" s="11">
        <v>16</v>
      </c>
      <c r="R5" s="11">
        <v>8</v>
      </c>
      <c r="S5" s="11">
        <v>17</v>
      </c>
      <c r="T5" s="11" t="s">
        <v>32</v>
      </c>
      <c r="U5" s="11" t="s">
        <v>32</v>
      </c>
      <c r="V5" s="11" t="s">
        <v>32</v>
      </c>
      <c r="W5" s="11" t="s">
        <v>32</v>
      </c>
      <c r="X5" s="11" t="s">
        <v>33</v>
      </c>
      <c r="Y5" s="11">
        <v>0</v>
      </c>
      <c r="Z5" s="12" t="s">
        <v>34</v>
      </c>
    </row>
    <row r="6" spans="1:26" x14ac:dyDescent="0.25">
      <c r="A6" s="5">
        <v>2</v>
      </c>
      <c r="B6" s="5" t="s">
        <v>29</v>
      </c>
      <c r="C6" s="6" t="s">
        <v>35</v>
      </c>
      <c r="D6" s="7" t="s">
        <v>31</v>
      </c>
      <c r="E6" s="5">
        <v>1</v>
      </c>
      <c r="F6" s="5">
        <v>2</v>
      </c>
      <c r="G6" s="5">
        <v>2</v>
      </c>
      <c r="H6" s="5">
        <v>3</v>
      </c>
      <c r="I6" s="5">
        <v>2</v>
      </c>
      <c r="J6" s="5">
        <v>3</v>
      </c>
      <c r="K6" s="5">
        <v>3</v>
      </c>
      <c r="L6" s="8">
        <f>SUM(F6:K6)</f>
      </c>
      <c r="M6" s="5">
        <f>IF(AND(T6="pass",U6="pass",V6="pass",W6="pass",COUNTIF(F6:K6,"unsupported")=0),"Shortlist","Review")</f>
      </c>
      <c r="N6" s="9"/>
      <c r="O6" s="10"/>
      <c r="P6" s="5">
        <f>(E6&lt;&gt;'Score reasons'!C3)+(F6&lt;&gt;'Score reasons'!F3)+(G6&lt;&gt;'Score reasons'!I3)+(H6&lt;&gt;'Score reasons'!L3)+(I6&lt;&gt;'Score reasons'!O3)+(J6&lt;&gt;'Score reasons'!R3)+(K6&lt;&gt;'Score reasons'!U3)</f>
      </c>
      <c r="Q6" s="11">
        <v>15</v>
      </c>
      <c r="R6" s="11">
        <v>8</v>
      </c>
      <c r="S6" s="11">
        <v>18</v>
      </c>
      <c r="T6" s="11" t="s">
        <v>32</v>
      </c>
      <c r="U6" s="11" t="s">
        <v>32</v>
      </c>
      <c r="V6" s="11" t="s">
        <v>32</v>
      </c>
      <c r="W6" s="11" t="s">
        <v>32</v>
      </c>
      <c r="X6" s="11" t="s">
        <v>33</v>
      </c>
      <c r="Y6" s="11">
        <v>0</v>
      </c>
      <c r="Z6" s="12" t="s">
        <v>36</v>
      </c>
    </row>
    <row r="7" spans="1:26" x14ac:dyDescent="0.25">
      <c r="A7" s="5">
        <v>3</v>
      </c>
      <c r="B7" s="5" t="s">
        <v>29</v>
      </c>
      <c r="C7" s="6" t="s">
        <v>37</v>
      </c>
      <c r="D7" s="7" t="s">
        <v>31</v>
      </c>
      <c r="E7" s="5">
        <v>1</v>
      </c>
      <c r="F7" s="5">
        <v>2</v>
      </c>
      <c r="G7" s="5">
        <v>2</v>
      </c>
      <c r="H7" s="5">
        <v>3</v>
      </c>
      <c r="I7" s="5">
        <v>2</v>
      </c>
      <c r="J7" s="5">
        <v>3</v>
      </c>
      <c r="K7" s="5">
        <v>3</v>
      </c>
      <c r="L7" s="8">
        <f>SUM(F7:K7)</f>
      </c>
      <c r="M7" s="5">
        <f>IF(AND(T7="pass",U7="pass",V7="pass",W7="pass",COUNTIF(F7:K7,"unsupported")=0),"Shortlist","Review")</f>
      </c>
      <c r="N7" s="9"/>
      <c r="O7" s="10"/>
      <c r="P7" s="5">
        <f>(E7&lt;&gt;'Score reasons'!C4)+(F7&lt;&gt;'Score reasons'!F4)+(G7&lt;&gt;'Score reasons'!I4)+(H7&lt;&gt;'Score reasons'!L4)+(I7&lt;&gt;'Score reasons'!O4)+(J7&lt;&gt;'Score reasons'!R4)+(K7&lt;&gt;'Score reasons'!U4)</f>
      </c>
      <c r="Q7" s="11">
        <v>15</v>
      </c>
      <c r="R7" s="11">
        <v>8</v>
      </c>
      <c r="S7" s="11">
        <v>19</v>
      </c>
      <c r="T7" s="11" t="s">
        <v>32</v>
      </c>
      <c r="U7" s="11" t="s">
        <v>32</v>
      </c>
      <c r="V7" s="11" t="s">
        <v>32</v>
      </c>
      <c r="W7" s="11" t="s">
        <v>32</v>
      </c>
      <c r="X7" s="11" t="s">
        <v>33</v>
      </c>
      <c r="Y7" s="11">
        <v>0</v>
      </c>
      <c r="Z7" s="12" t="s">
        <v>38</v>
      </c>
    </row>
    <row r="8" spans="1:26" x14ac:dyDescent="0.25">
      <c r="A8" s="5">
        <v>4</v>
      </c>
      <c r="B8" s="5" t="s">
        <v>29</v>
      </c>
      <c r="C8" s="6" t="s">
        <v>39</v>
      </c>
      <c r="D8" s="7" t="s">
        <v>31</v>
      </c>
      <c r="E8" s="5">
        <v>1</v>
      </c>
      <c r="F8" s="5">
        <v>1</v>
      </c>
      <c r="G8" s="5">
        <v>2</v>
      </c>
      <c r="H8" s="5">
        <v>3</v>
      </c>
      <c r="I8" s="5">
        <v>3</v>
      </c>
      <c r="J8" s="5">
        <v>3</v>
      </c>
      <c r="K8" s="5">
        <v>3</v>
      </c>
      <c r="L8" s="8">
        <f>SUM(F8:K8)</f>
      </c>
      <c r="M8" s="5">
        <f>IF(AND(T8="pass",U8="pass",V8="pass",W8="pass",COUNTIF(F8:K8,"unsupported")=0),"Shortlist","Review")</f>
      </c>
      <c r="N8" s="9"/>
      <c r="O8" s="10"/>
      <c r="P8" s="5">
        <f>(E8&lt;&gt;'Score reasons'!C5)+(F8&lt;&gt;'Score reasons'!F5)+(G8&lt;&gt;'Score reasons'!I5)+(H8&lt;&gt;'Score reasons'!L5)+(I8&lt;&gt;'Score reasons'!O5)+(J8&lt;&gt;'Score reasons'!R5)+(K8&lt;&gt;'Score reasons'!U5)</f>
      </c>
      <c r="Q8" s="11">
        <v>15</v>
      </c>
      <c r="R8" s="11">
        <v>8</v>
      </c>
      <c r="S8" s="11">
        <v>20</v>
      </c>
      <c r="T8" s="11" t="s">
        <v>32</v>
      </c>
      <c r="U8" s="11" t="s">
        <v>32</v>
      </c>
      <c r="V8" s="11" t="s">
        <v>32</v>
      </c>
      <c r="W8" s="11" t="s">
        <v>32</v>
      </c>
      <c r="X8" s="11" t="s">
        <v>33</v>
      </c>
      <c r="Y8" s="11">
        <v>0</v>
      </c>
      <c r="Z8" s="12" t="s">
        <v>40</v>
      </c>
    </row>
    <row r="9" spans="1:26" x14ac:dyDescent="0.25">
      <c r="A9" s="5">
        <v>5</v>
      </c>
      <c r="B9" s="5" t="s">
        <v>29</v>
      </c>
      <c r="C9" s="6" t="s">
        <v>41</v>
      </c>
      <c r="D9" s="7" t="s">
        <v>31</v>
      </c>
      <c r="E9" s="5">
        <v>1</v>
      </c>
      <c r="F9" s="5">
        <v>2</v>
      </c>
      <c r="G9" s="5">
        <v>2</v>
      </c>
      <c r="H9" s="5">
        <v>3</v>
      </c>
      <c r="I9" s="5">
        <v>2</v>
      </c>
      <c r="J9" s="5">
        <v>3</v>
      </c>
      <c r="K9" s="5">
        <v>3</v>
      </c>
      <c r="L9" s="8">
        <f>SUM(F9:K9)</f>
      </c>
      <c r="M9" s="5">
        <f>IF(AND(T9="pass",U9="pass",V9="pass",W9="pass",COUNTIF(F9:K9,"unsupported")=0),"Shortlist","Review")</f>
      </c>
      <c r="N9" s="9"/>
      <c r="O9" s="10"/>
      <c r="P9" s="5">
        <f>(E9&lt;&gt;'Score reasons'!C6)+(F9&lt;&gt;'Score reasons'!F6)+(G9&lt;&gt;'Score reasons'!I6)+(H9&lt;&gt;'Score reasons'!L6)+(I9&lt;&gt;'Score reasons'!O6)+(J9&lt;&gt;'Score reasons'!R6)+(K9&lt;&gt;'Score reasons'!U6)</f>
      </c>
      <c r="Q9" s="11">
        <v>15</v>
      </c>
      <c r="R9" s="11">
        <v>8</v>
      </c>
      <c r="S9" s="11">
        <v>21</v>
      </c>
      <c r="T9" s="11" t="s">
        <v>32</v>
      </c>
      <c r="U9" s="11" t="s">
        <v>32</v>
      </c>
      <c r="V9" s="11" t="s">
        <v>32</v>
      </c>
      <c r="W9" s="11" t="s">
        <v>32</v>
      </c>
      <c r="X9" s="11" t="s">
        <v>33</v>
      </c>
      <c r="Y9" s="11">
        <v>0</v>
      </c>
      <c r="Z9" s="12" t="s">
        <v>42</v>
      </c>
    </row>
    <row r="10" spans="1:26" x14ac:dyDescent="0.25">
      <c r="A10" s="5">
        <v>6</v>
      </c>
      <c r="B10" s="5" t="s">
        <v>29</v>
      </c>
      <c r="C10" s="6" t="s">
        <v>43</v>
      </c>
      <c r="D10" s="7" t="s">
        <v>31</v>
      </c>
      <c r="E10" s="5">
        <v>1</v>
      </c>
      <c r="F10" s="5">
        <v>1</v>
      </c>
      <c r="G10" s="5">
        <v>2</v>
      </c>
      <c r="H10" s="5">
        <v>2</v>
      </c>
      <c r="I10" s="5">
        <v>2</v>
      </c>
      <c r="J10" s="5">
        <v>2</v>
      </c>
      <c r="K10" s="5">
        <v>3</v>
      </c>
      <c r="L10" s="8">
        <f>SUM(F10:K10)</f>
      </c>
      <c r="M10" s="5">
        <f>IF(AND(T10="pass",U10="pass",V10="pass",W10="pass",COUNTIF(F10:K10,"unsupported")=0),"Shortlist","Review")</f>
      </c>
      <c r="N10" s="9"/>
      <c r="O10" s="10"/>
      <c r="P10" s="5">
        <f>(E10&lt;&gt;'Score reasons'!C7)+(F10&lt;&gt;'Score reasons'!F7)+(G10&lt;&gt;'Score reasons'!I7)+(H10&lt;&gt;'Score reasons'!L7)+(I10&lt;&gt;'Score reasons'!O7)+(J10&lt;&gt;'Score reasons'!R7)+(K10&lt;&gt;'Score reasons'!U7)</f>
      </c>
      <c r="Q10" s="11">
        <v>12</v>
      </c>
      <c r="R10" s="11">
        <v>8</v>
      </c>
      <c r="S10" s="11">
        <v>22</v>
      </c>
      <c r="T10" s="11" t="s">
        <v>32</v>
      </c>
      <c r="U10" s="11" t="s">
        <v>32</v>
      </c>
      <c r="V10" s="11" t="s">
        <v>32</v>
      </c>
      <c r="W10" s="11" t="s">
        <v>32</v>
      </c>
      <c r="X10" s="11" t="s">
        <v>33</v>
      </c>
      <c r="Y10" s="11">
        <v>0</v>
      </c>
      <c r="Z10" s="12" t="s">
        <v>44</v>
      </c>
    </row>
    <row r="11" spans="1:26" x14ac:dyDescent="0.25">
      <c r="A11" s="5">
        <v>7</v>
      </c>
      <c r="B11" s="5" t="s">
        <v>29</v>
      </c>
      <c r="C11" s="6" t="s">
        <v>45</v>
      </c>
      <c r="D11" s="7" t="s">
        <v>31</v>
      </c>
      <c r="E11" s="5">
        <v>1</v>
      </c>
      <c r="F11" s="5">
        <v>1</v>
      </c>
      <c r="G11" s="5">
        <v>2</v>
      </c>
      <c r="H11" s="5">
        <v>2</v>
      </c>
      <c r="I11" s="5">
        <v>2</v>
      </c>
      <c r="J11" s="5">
        <v>2</v>
      </c>
      <c r="K11" s="5">
        <v>3</v>
      </c>
      <c r="L11" s="8">
        <f>SUM(F11:K11)</f>
      </c>
      <c r="M11" s="5">
        <f>IF(AND(T11="pass",U11="pass",V11="pass",W11="pass",COUNTIF(F11:K11,"unsupported")=0),"Shortlist","Review")</f>
      </c>
      <c r="N11" s="9"/>
      <c r="O11" s="10"/>
      <c r="P11" s="5">
        <f>(E11&lt;&gt;'Score reasons'!C8)+(F11&lt;&gt;'Score reasons'!F8)+(G11&lt;&gt;'Score reasons'!I8)+(H11&lt;&gt;'Score reasons'!L8)+(I11&lt;&gt;'Score reasons'!O8)+(J11&lt;&gt;'Score reasons'!R8)+(K11&lt;&gt;'Score reasons'!U8)</f>
      </c>
      <c r="Q11" s="11">
        <v>12</v>
      </c>
      <c r="R11" s="11">
        <v>8</v>
      </c>
      <c r="S11" s="11">
        <v>23</v>
      </c>
      <c r="T11" s="11" t="s">
        <v>32</v>
      </c>
      <c r="U11" s="11" t="s">
        <v>32</v>
      </c>
      <c r="V11" s="11" t="s">
        <v>32</v>
      </c>
      <c r="W11" s="11" t="s">
        <v>32</v>
      </c>
      <c r="X11" s="11" t="s">
        <v>33</v>
      </c>
      <c r="Y11" s="11">
        <v>0</v>
      </c>
      <c r="Z11" s="12" t="s">
        <v>46</v>
      </c>
    </row>
    <row r="12" spans="1:26" x14ac:dyDescent="0.25">
      <c r="A12" s="5">
        <v>8</v>
      </c>
      <c r="B12" s="5" t="s">
        <v>29</v>
      </c>
      <c r="C12" s="6" t="s">
        <v>47</v>
      </c>
      <c r="D12" s="7" t="s">
        <v>31</v>
      </c>
      <c r="E12" s="5">
        <v>1</v>
      </c>
      <c r="F12" s="5">
        <v>2</v>
      </c>
      <c r="G12" s="5">
        <v>2</v>
      </c>
      <c r="H12" s="5">
        <v>3</v>
      </c>
      <c r="I12" s="5">
        <v>2</v>
      </c>
      <c r="J12" s="5">
        <v>3</v>
      </c>
      <c r="K12" s="5">
        <v>3</v>
      </c>
      <c r="L12" s="8">
        <f>SUM(F12:K12)</f>
      </c>
      <c r="M12" s="5">
        <f>IF(AND(T12="pass",U12="pass",V12="pass",W12="pass",COUNTIF(F12:K12,"unsupported")=0),"Shortlist","Review")</f>
      </c>
      <c r="N12" s="9"/>
      <c r="O12" s="10"/>
      <c r="P12" s="5">
        <f>(E12&lt;&gt;'Score reasons'!C9)+(F12&lt;&gt;'Score reasons'!F9)+(G12&lt;&gt;'Score reasons'!I9)+(H12&lt;&gt;'Score reasons'!L9)+(I12&lt;&gt;'Score reasons'!O9)+(J12&lt;&gt;'Score reasons'!R9)+(K12&lt;&gt;'Score reasons'!U9)</f>
      </c>
      <c r="Q12" s="11">
        <v>15</v>
      </c>
      <c r="R12" s="11">
        <v>9</v>
      </c>
      <c r="S12" s="11">
        <v>13</v>
      </c>
      <c r="T12" s="11" t="s">
        <v>48</v>
      </c>
      <c r="U12" s="11" t="s">
        <v>32</v>
      </c>
      <c r="V12" s="11" t="s">
        <v>32</v>
      </c>
      <c r="W12" s="11" t="s">
        <v>32</v>
      </c>
      <c r="X12" s="11" t="s">
        <v>49</v>
      </c>
      <c r="Y12" s="11">
        <v>0</v>
      </c>
      <c r="Z12" s="12" t="s">
        <v>50</v>
      </c>
    </row>
    <row r="13" spans="1:26" x14ac:dyDescent="0.25">
      <c r="A13" s="5">
        <v>9</v>
      </c>
      <c r="B13" s="5" t="s">
        <v>29</v>
      </c>
      <c r="C13" s="6" t="s">
        <v>51</v>
      </c>
      <c r="D13" s="7" t="s">
        <v>31</v>
      </c>
      <c r="E13" s="5">
        <v>1</v>
      </c>
      <c r="F13" s="5">
        <v>1</v>
      </c>
      <c r="G13" s="5">
        <v>2</v>
      </c>
      <c r="H13" s="5">
        <v>3</v>
      </c>
      <c r="I13" s="5">
        <v>2</v>
      </c>
      <c r="J13" s="5">
        <v>3</v>
      </c>
      <c r="K13" s="5">
        <v>3</v>
      </c>
      <c r="L13" s="8">
        <f>SUM(F13:K13)</f>
      </c>
      <c r="M13" s="5">
        <f>IF(AND(T13="pass",U13="pass",V13="pass",W13="pass",COUNTIF(F13:K13,"unsupported")=0),"Shortlist","Review")</f>
      </c>
      <c r="N13" s="9"/>
      <c r="O13" s="10"/>
      <c r="P13" s="5">
        <f>(E13&lt;&gt;'Score reasons'!C10)+(F13&lt;&gt;'Score reasons'!F10)+(G13&lt;&gt;'Score reasons'!I10)+(H13&lt;&gt;'Score reasons'!L10)+(I13&lt;&gt;'Score reasons'!O10)+(J13&lt;&gt;'Score reasons'!R10)+(K13&lt;&gt;'Score reasons'!U10)</f>
      </c>
      <c r="Q13" s="11">
        <v>14</v>
      </c>
      <c r="R13" s="11">
        <v>8</v>
      </c>
      <c r="S13" s="11">
        <v>24</v>
      </c>
      <c r="T13" s="11" t="s">
        <v>48</v>
      </c>
      <c r="U13" s="11" t="s">
        <v>32</v>
      </c>
      <c r="V13" s="11" t="s">
        <v>32</v>
      </c>
      <c r="W13" s="11" t="s">
        <v>32</v>
      </c>
      <c r="X13" s="11" t="s">
        <v>49</v>
      </c>
      <c r="Y13" s="11">
        <v>0</v>
      </c>
      <c r="Z13" s="12" t="s">
        <v>52</v>
      </c>
    </row>
    <row r="14" spans="1:26" x14ac:dyDescent="0.25">
      <c r="A14" s="5">
        <v>10</v>
      </c>
      <c r="B14" s="5" t="s">
        <v>29</v>
      </c>
      <c r="C14" s="6" t="s">
        <v>53</v>
      </c>
      <c r="D14" s="7" t="s">
        <v>31</v>
      </c>
      <c r="E14" s="5">
        <v>1</v>
      </c>
      <c r="F14" s="5">
        <v>1</v>
      </c>
      <c r="G14" s="5">
        <v>2</v>
      </c>
      <c r="H14" s="5">
        <v>2</v>
      </c>
      <c r="I14" s="5">
        <v>2</v>
      </c>
      <c r="J14" s="5">
        <v>3</v>
      </c>
      <c r="K14" s="5">
        <v>3</v>
      </c>
      <c r="L14" s="8">
        <f>SUM(F14:K14)</f>
      </c>
      <c r="M14" s="5">
        <f>IF(AND(T14="pass",U14="pass",V14="pass",W14="pass",COUNTIF(F14:K14,"unsupported")=0),"Shortlist","Review")</f>
      </c>
      <c r="N14" s="9"/>
      <c r="O14" s="10"/>
      <c r="P14" s="5">
        <f>(E14&lt;&gt;'Score reasons'!C11)+(F14&lt;&gt;'Score reasons'!F11)+(G14&lt;&gt;'Score reasons'!I11)+(H14&lt;&gt;'Score reasons'!L11)+(I14&lt;&gt;'Score reasons'!O11)+(J14&lt;&gt;'Score reasons'!R11)+(K14&lt;&gt;'Score reasons'!U11)</f>
      </c>
      <c r="Q14" s="11">
        <v>13</v>
      </c>
      <c r="R14" s="11">
        <v>8</v>
      </c>
      <c r="S14" s="11">
        <v>25</v>
      </c>
      <c r="T14" s="11" t="s">
        <v>48</v>
      </c>
      <c r="U14" s="11" t="s">
        <v>32</v>
      </c>
      <c r="V14" s="11" t="s">
        <v>32</v>
      </c>
      <c r="W14" s="11" t="s">
        <v>32</v>
      </c>
      <c r="X14" s="11" t="s">
        <v>49</v>
      </c>
      <c r="Y14" s="11">
        <v>0</v>
      </c>
      <c r="Z14" s="12" t="s">
        <v>54</v>
      </c>
    </row>
    <row r="15" spans="1:26" x14ac:dyDescent="0.25">
      <c r="A15" s="5">
        <v>11</v>
      </c>
      <c r="B15" s="5" t="s">
        <v>29</v>
      </c>
      <c r="C15" s="6" t="s">
        <v>55</v>
      </c>
      <c r="D15" s="7" t="s">
        <v>31</v>
      </c>
      <c r="E15" s="5">
        <v>1</v>
      </c>
      <c r="F15" s="5">
        <v>1</v>
      </c>
      <c r="G15" s="5">
        <v>2</v>
      </c>
      <c r="H15" s="5">
        <v>2</v>
      </c>
      <c r="I15" s="5">
        <v>2</v>
      </c>
      <c r="J15" s="5">
        <v>3</v>
      </c>
      <c r="K15" s="5">
        <v>3</v>
      </c>
      <c r="L15" s="8">
        <f>SUM(F15:K15)</f>
      </c>
      <c r="M15" s="5">
        <f>IF(AND(T15="pass",U15="pass",V15="pass",W15="pass",COUNTIF(F15:K15,"unsupported")=0),"Shortlist","Review")</f>
      </c>
      <c r="N15" s="9"/>
      <c r="O15" s="10"/>
      <c r="P15" s="5">
        <f>(E15&lt;&gt;'Score reasons'!C12)+(F15&lt;&gt;'Score reasons'!F12)+(G15&lt;&gt;'Score reasons'!I12)+(H15&lt;&gt;'Score reasons'!L12)+(I15&lt;&gt;'Score reasons'!O12)+(J15&lt;&gt;'Score reasons'!R12)+(K15&lt;&gt;'Score reasons'!U12)</f>
      </c>
      <c r="Q15" s="11">
        <v>13</v>
      </c>
      <c r="R15" s="11">
        <v>8</v>
      </c>
      <c r="S15" s="11">
        <v>26</v>
      </c>
      <c r="T15" s="11" t="s">
        <v>48</v>
      </c>
      <c r="U15" s="11" t="s">
        <v>32</v>
      </c>
      <c r="V15" s="11" t="s">
        <v>32</v>
      </c>
      <c r="W15" s="11" t="s">
        <v>32</v>
      </c>
      <c r="X15" s="11" t="s">
        <v>49</v>
      </c>
      <c r="Y15" s="11">
        <v>0</v>
      </c>
      <c r="Z15" s="12" t="s">
        <v>56</v>
      </c>
    </row>
    <row r="16" spans="1:26" x14ac:dyDescent="0.25">
      <c r="A16" s="5">
        <v>12</v>
      </c>
      <c r="B16" s="5" t="s">
        <v>29</v>
      </c>
      <c r="C16" s="6" t="s">
        <v>57</v>
      </c>
      <c r="D16" s="7" t="s">
        <v>31</v>
      </c>
      <c r="E16" s="5">
        <v>1</v>
      </c>
      <c r="F16" s="5">
        <v>2</v>
      </c>
      <c r="G16" s="5">
        <v>2</v>
      </c>
      <c r="H16" s="5">
        <v>3</v>
      </c>
      <c r="I16" s="5">
        <v>2</v>
      </c>
      <c r="J16" s="5" t="s">
        <v>48</v>
      </c>
      <c r="K16" s="5">
        <v>3</v>
      </c>
      <c r="L16" s="8">
        <f>SUM(F16:K16)</f>
      </c>
      <c r="M16" s="5">
        <f>IF(AND(T16="pass",U16="pass",V16="pass",W16="pass",COUNTIF(F16:K16,"unsupported")=0),"Shortlist","Review")</f>
      </c>
      <c r="N16" s="9"/>
      <c r="O16" s="10"/>
      <c r="P16" s="5">
        <f>(E16&lt;&gt;'Score reasons'!C13)+(F16&lt;&gt;'Score reasons'!F13)+(G16&lt;&gt;'Score reasons'!I13)+(H16&lt;&gt;'Score reasons'!L13)+(I16&lt;&gt;'Score reasons'!O13)+(J16&lt;&gt;'Score reasons'!R13)+(K16&lt;&gt;'Score reasons'!U13)</f>
      </c>
      <c r="Q16" s="11">
        <v>12</v>
      </c>
      <c r="R16" s="11">
        <v>8</v>
      </c>
      <c r="S16" s="11">
        <v>27</v>
      </c>
      <c r="T16" s="11" t="s">
        <v>32</v>
      </c>
      <c r="U16" s="11" t="s">
        <v>32</v>
      </c>
      <c r="V16" s="11" t="s">
        <v>32</v>
      </c>
      <c r="W16" s="11" t="s">
        <v>32</v>
      </c>
      <c r="X16" s="11" t="s">
        <v>49</v>
      </c>
      <c r="Y16" s="11">
        <v>0</v>
      </c>
      <c r="Z16" s="12" t="s">
        <v>58</v>
      </c>
    </row>
    <row r="17" spans="1:26" x14ac:dyDescent="0.25">
      <c r="A17" s="5">
        <v>13</v>
      </c>
      <c r="B17" s="5" t="s">
        <v>29</v>
      </c>
      <c r="C17" s="6" t="s">
        <v>59</v>
      </c>
      <c r="D17" s="7" t="s">
        <v>31</v>
      </c>
      <c r="E17" s="5">
        <v>1</v>
      </c>
      <c r="F17" s="5">
        <v>1</v>
      </c>
      <c r="G17" s="5">
        <v>1</v>
      </c>
      <c r="H17" s="5">
        <v>2</v>
      </c>
      <c r="I17" s="5">
        <v>2</v>
      </c>
      <c r="J17" s="5">
        <v>3</v>
      </c>
      <c r="K17" s="5">
        <v>3</v>
      </c>
      <c r="L17" s="8">
        <f>SUM(F17:K17)</f>
      </c>
      <c r="M17" s="5">
        <f>IF(AND(T17="pass",U17="pass",V17="pass",W17="pass",COUNTIF(F17:K17,"unsupported")=0),"Shortlist","Review")</f>
      </c>
      <c r="N17" s="9"/>
      <c r="O17" s="10"/>
      <c r="P17" s="5">
        <f>(E17&lt;&gt;'Score reasons'!C14)+(F17&lt;&gt;'Score reasons'!F14)+(G17&lt;&gt;'Score reasons'!I14)+(H17&lt;&gt;'Score reasons'!L14)+(I17&lt;&gt;'Score reasons'!O14)+(J17&lt;&gt;'Score reasons'!R14)+(K17&lt;&gt;'Score reasons'!U14)</f>
      </c>
      <c r="Q17" s="11">
        <v>12</v>
      </c>
      <c r="R17" s="11">
        <v>8</v>
      </c>
      <c r="S17" s="11">
        <v>28</v>
      </c>
      <c r="T17" s="11" t="s">
        <v>48</v>
      </c>
      <c r="U17" s="11" t="s">
        <v>32</v>
      </c>
      <c r="V17" s="11" t="s">
        <v>32</v>
      </c>
      <c r="W17" s="11" t="s">
        <v>32</v>
      </c>
      <c r="X17" s="11" t="s">
        <v>49</v>
      </c>
      <c r="Y17" s="11">
        <v>0</v>
      </c>
      <c r="Z17" s="12" t="s">
        <v>60</v>
      </c>
    </row>
    <row r="18" spans="1:26" x14ac:dyDescent="0.25">
      <c r="A18" s="5">
        <v>14</v>
      </c>
      <c r="B18" s="5" t="s">
        <v>29</v>
      </c>
      <c r="C18" s="6" t="s">
        <v>61</v>
      </c>
      <c r="D18" s="7" t="s">
        <v>31</v>
      </c>
      <c r="E18" s="5">
        <v>1</v>
      </c>
      <c r="F18" s="5">
        <v>2</v>
      </c>
      <c r="G18" s="5">
        <v>1</v>
      </c>
      <c r="H18" s="5">
        <v>1</v>
      </c>
      <c r="I18" s="5">
        <v>2</v>
      </c>
      <c r="J18" s="5">
        <v>2</v>
      </c>
      <c r="K18" s="5">
        <v>3</v>
      </c>
      <c r="L18" s="8">
        <f>SUM(F18:K18)</f>
      </c>
      <c r="M18" s="5">
        <f>IF(AND(T18="pass",U18="pass",V18="pass",W18="pass",COUNTIF(F18:K18,"unsupported")=0),"Shortlist","Review")</f>
      </c>
      <c r="N18" s="9"/>
      <c r="O18" s="10"/>
      <c r="P18" s="5">
        <f>(E18&lt;&gt;'Score reasons'!C15)+(F18&lt;&gt;'Score reasons'!F15)+(G18&lt;&gt;'Score reasons'!I15)+(H18&lt;&gt;'Score reasons'!L15)+(I18&lt;&gt;'Score reasons'!O15)+(J18&lt;&gt;'Score reasons'!R15)+(K18&lt;&gt;'Score reasons'!U15)</f>
      </c>
      <c r="Q18" s="11">
        <v>11</v>
      </c>
      <c r="R18" s="11">
        <v>9</v>
      </c>
      <c r="S18" s="11">
        <v>14</v>
      </c>
      <c r="T18" s="11" t="s">
        <v>48</v>
      </c>
      <c r="U18" s="11" t="s">
        <v>32</v>
      </c>
      <c r="V18" s="11" t="s">
        <v>32</v>
      </c>
      <c r="W18" s="11" t="s">
        <v>32</v>
      </c>
      <c r="X18" s="11" t="s">
        <v>49</v>
      </c>
      <c r="Y18" s="11">
        <v>0</v>
      </c>
      <c r="Z18" s="12" t="s">
        <v>62</v>
      </c>
    </row>
    <row r="19" spans="1:26" x14ac:dyDescent="0.25">
      <c r="A19" s="5">
        <v>15</v>
      </c>
      <c r="B19" s="5" t="s">
        <v>29</v>
      </c>
      <c r="C19" s="6" t="s">
        <v>63</v>
      </c>
      <c r="D19" s="7" t="s">
        <v>31</v>
      </c>
      <c r="E19" s="5">
        <v>1</v>
      </c>
      <c r="F19" s="5">
        <v>1</v>
      </c>
      <c r="G19" s="5">
        <v>1</v>
      </c>
      <c r="H19" s="5">
        <v>2</v>
      </c>
      <c r="I19" s="5">
        <v>2</v>
      </c>
      <c r="J19" s="5">
        <v>2</v>
      </c>
      <c r="K19" s="5">
        <v>3</v>
      </c>
      <c r="L19" s="8">
        <f>SUM(F19:K19)</f>
      </c>
      <c r="M19" s="5">
        <f>IF(AND(T19="pass",U19="pass",V19="pass",W19="pass",COUNTIF(F19:K19,"unsupported")=0),"Shortlist","Review")</f>
      </c>
      <c r="N19" s="9"/>
      <c r="O19" s="10"/>
      <c r="P19" s="5">
        <f>(E19&lt;&gt;'Score reasons'!C16)+(F19&lt;&gt;'Score reasons'!F16)+(G19&lt;&gt;'Score reasons'!I16)+(H19&lt;&gt;'Score reasons'!L16)+(I19&lt;&gt;'Score reasons'!O16)+(J19&lt;&gt;'Score reasons'!R16)+(K19&lt;&gt;'Score reasons'!U16)</f>
      </c>
      <c r="Q19" s="11">
        <v>11</v>
      </c>
      <c r="R19" s="11">
        <v>8</v>
      </c>
      <c r="S19" s="11">
        <v>29</v>
      </c>
      <c r="T19" s="11" t="s">
        <v>48</v>
      </c>
      <c r="U19" s="11" t="s">
        <v>32</v>
      </c>
      <c r="V19" s="11" t="s">
        <v>32</v>
      </c>
      <c r="W19" s="11" t="s">
        <v>32</v>
      </c>
      <c r="X19" s="11" t="s">
        <v>49</v>
      </c>
      <c r="Y19" s="11">
        <v>0</v>
      </c>
      <c r="Z19" s="12" t="s">
        <v>64</v>
      </c>
    </row>
    <row r="20" spans="1:26" x14ac:dyDescent="0.25">
      <c r="A20" s="5">
        <v>16</v>
      </c>
      <c r="B20" s="5" t="s">
        <v>65</v>
      </c>
      <c r="C20" s="6" t="s">
        <v>66</v>
      </c>
      <c r="D20" s="7" t="s">
        <v>31</v>
      </c>
      <c r="E20" s="5">
        <v>3</v>
      </c>
      <c r="F20" s="5">
        <v>3</v>
      </c>
      <c r="G20" s="5">
        <v>3</v>
      </c>
      <c r="H20" s="5">
        <v>3</v>
      </c>
      <c r="I20" s="5">
        <v>3</v>
      </c>
      <c r="J20" s="5">
        <v>2</v>
      </c>
      <c r="K20" s="5">
        <v>2</v>
      </c>
      <c r="L20" s="8">
        <f>SUM(F20:K20)</f>
      </c>
      <c r="M20" s="5">
        <f>IF(AND(T20="pass",U20="pass",V20="pass",W20="pass",COUNTIF(F20:K20,"unsupported")=0),"Shortlist","Review")</f>
      </c>
      <c r="N20" s="9"/>
      <c r="O20" s="10"/>
      <c r="P20" s="5">
        <f>(E20&lt;&gt;'Score reasons'!C17)+(F20&lt;&gt;'Score reasons'!F17)+(G20&lt;&gt;'Score reasons'!I17)+(H20&lt;&gt;'Score reasons'!L17)+(I20&lt;&gt;'Score reasons'!O17)+(J20&lt;&gt;'Score reasons'!R17)+(K20&lt;&gt;'Score reasons'!U17)</f>
      </c>
      <c r="Q20" s="11">
        <v>16</v>
      </c>
      <c r="R20" s="11">
        <v>11</v>
      </c>
      <c r="S20" s="11">
        <v>8</v>
      </c>
      <c r="T20" s="11" t="s">
        <v>32</v>
      </c>
      <c r="U20" s="11" t="s">
        <v>32</v>
      </c>
      <c r="V20" s="11" t="s">
        <v>32</v>
      </c>
      <c r="W20" s="11" t="s">
        <v>32</v>
      </c>
      <c r="X20" s="11" t="s">
        <v>33</v>
      </c>
      <c r="Y20" s="11">
        <v>64</v>
      </c>
      <c r="Z20" s="12" t="s">
        <v>67</v>
      </c>
    </row>
    <row r="21" spans="1:26" x14ac:dyDescent="0.25">
      <c r="A21" s="5">
        <v>17</v>
      </c>
      <c r="B21" s="5" t="s">
        <v>65</v>
      </c>
      <c r="C21" s="6" t="s">
        <v>68</v>
      </c>
      <c r="D21" s="7" t="s">
        <v>31</v>
      </c>
      <c r="E21" s="5">
        <v>2</v>
      </c>
      <c r="F21" s="5">
        <v>3</v>
      </c>
      <c r="G21" s="5">
        <v>2</v>
      </c>
      <c r="H21" s="5">
        <v>3</v>
      </c>
      <c r="I21" s="5">
        <v>2</v>
      </c>
      <c r="J21" s="5">
        <v>2</v>
      </c>
      <c r="K21" s="5">
        <v>2</v>
      </c>
      <c r="L21" s="8">
        <f>SUM(F21:K21)</f>
      </c>
      <c r="M21" s="5">
        <f>IF(AND(T21="pass",U21="pass",V21="pass",W21="pass",COUNTIF(F21:K21,"unsupported")=0),"Shortlist","Review")</f>
      </c>
      <c r="N21" s="9"/>
      <c r="O21" s="10"/>
      <c r="P21" s="5">
        <f>(E21&lt;&gt;'Score reasons'!C18)+(F21&lt;&gt;'Score reasons'!F18)+(G21&lt;&gt;'Score reasons'!I18)+(H21&lt;&gt;'Score reasons'!L18)+(I21&lt;&gt;'Score reasons'!O18)+(J21&lt;&gt;'Score reasons'!R18)+(K21&lt;&gt;'Score reasons'!U18)</f>
      </c>
      <c r="Q21" s="11">
        <v>14</v>
      </c>
      <c r="R21" s="11">
        <v>13</v>
      </c>
      <c r="S21" s="11">
        <v>7</v>
      </c>
      <c r="T21" s="11" t="s">
        <v>32</v>
      </c>
      <c r="U21" s="11" t="s">
        <v>32</v>
      </c>
      <c r="V21" s="11" t="s">
        <v>32</v>
      </c>
      <c r="W21" s="11" t="s">
        <v>32</v>
      </c>
      <c r="X21" s="11" t="s">
        <v>33</v>
      </c>
      <c r="Y21" s="11">
        <v>18</v>
      </c>
      <c r="Z21" s="12" t="s">
        <v>69</v>
      </c>
    </row>
    <row r="22" spans="1:26" x14ac:dyDescent="0.25">
      <c r="A22" s="5">
        <v>18</v>
      </c>
      <c r="B22" s="5" t="s">
        <v>65</v>
      </c>
      <c r="C22" s="6" t="s">
        <v>70</v>
      </c>
      <c r="D22" s="7" t="s">
        <v>31</v>
      </c>
      <c r="E22" s="5">
        <v>2</v>
      </c>
      <c r="F22" s="5">
        <v>2</v>
      </c>
      <c r="G22" s="5">
        <v>2</v>
      </c>
      <c r="H22" s="5">
        <v>3</v>
      </c>
      <c r="I22" s="5">
        <v>3</v>
      </c>
      <c r="J22" s="5">
        <v>2</v>
      </c>
      <c r="K22" s="5">
        <v>2</v>
      </c>
      <c r="L22" s="8">
        <f>SUM(F22:K22)</f>
      </c>
      <c r="M22" s="5">
        <f>IF(AND(T22="pass",U22="pass",V22="pass",W22="pass",COUNTIF(F22:K22,"unsupported")=0),"Shortlist","Review")</f>
      </c>
      <c r="N22" s="9"/>
      <c r="O22" s="10"/>
      <c r="P22" s="5">
        <f>(E22&lt;&gt;'Score reasons'!C19)+(F22&lt;&gt;'Score reasons'!F19)+(G22&lt;&gt;'Score reasons'!I19)+(H22&lt;&gt;'Score reasons'!L19)+(I22&lt;&gt;'Score reasons'!O19)+(J22&lt;&gt;'Score reasons'!R19)+(K22&lt;&gt;'Score reasons'!U19)</f>
      </c>
      <c r="Q22" s="11">
        <v>14</v>
      </c>
      <c r="R22" s="11">
        <v>9</v>
      </c>
      <c r="S22" s="11">
        <v>15</v>
      </c>
      <c r="T22" s="11" t="s">
        <v>32</v>
      </c>
      <c r="U22" s="11" t="s">
        <v>32</v>
      </c>
      <c r="V22" s="11" t="s">
        <v>32</v>
      </c>
      <c r="W22" s="11" t="s">
        <v>32</v>
      </c>
      <c r="X22" s="11" t="s">
        <v>33</v>
      </c>
      <c r="Y22" s="11">
        <v>21</v>
      </c>
      <c r="Z22" s="12" t="s">
        <v>71</v>
      </c>
    </row>
    <row r="23" spans="1:26" x14ac:dyDescent="0.25">
      <c r="A23" s="5">
        <v>19</v>
      </c>
      <c r="B23" s="5" t="s">
        <v>65</v>
      </c>
      <c r="C23" s="6" t="s">
        <v>72</v>
      </c>
      <c r="D23" s="7" t="s">
        <v>31</v>
      </c>
      <c r="E23" s="5">
        <v>1</v>
      </c>
      <c r="F23" s="5">
        <v>2</v>
      </c>
      <c r="G23" s="5">
        <v>2</v>
      </c>
      <c r="H23" s="5">
        <v>3</v>
      </c>
      <c r="I23" s="5">
        <v>3</v>
      </c>
      <c r="J23" s="5">
        <v>2</v>
      </c>
      <c r="K23" s="5">
        <v>2</v>
      </c>
      <c r="L23" s="8">
        <f>SUM(F23:K23)</f>
      </c>
      <c r="M23" s="5">
        <f>IF(AND(T23="pass",U23="pass",V23="pass",W23="pass",COUNTIF(F23:K23,"unsupported")=0),"Shortlist","Review")</f>
      </c>
      <c r="N23" s="9"/>
      <c r="O23" s="10"/>
      <c r="P23" s="5">
        <f>(E23&lt;&gt;'Score reasons'!C20)+(F23&lt;&gt;'Score reasons'!F20)+(G23&lt;&gt;'Score reasons'!I20)+(H23&lt;&gt;'Score reasons'!L20)+(I23&lt;&gt;'Score reasons'!O20)+(J23&lt;&gt;'Score reasons'!R20)+(K23&lt;&gt;'Score reasons'!U20)</f>
      </c>
      <c r="Q23" s="11">
        <v>14</v>
      </c>
      <c r="R23" s="11">
        <v>8</v>
      </c>
      <c r="S23" s="11">
        <v>30</v>
      </c>
      <c r="T23" s="11" t="s">
        <v>32</v>
      </c>
      <c r="U23" s="11" t="s">
        <v>32</v>
      </c>
      <c r="V23" s="11" t="s">
        <v>32</v>
      </c>
      <c r="W23" s="11" t="s">
        <v>32</v>
      </c>
      <c r="X23" s="11" t="s">
        <v>33</v>
      </c>
      <c r="Y23" s="11">
        <v>1</v>
      </c>
      <c r="Z23" s="12" t="s">
        <v>73</v>
      </c>
    </row>
    <row r="24" spans="1:26" x14ac:dyDescent="0.25">
      <c r="A24" s="5">
        <v>20</v>
      </c>
      <c r="B24" s="5" t="s">
        <v>65</v>
      </c>
      <c r="C24" s="6" t="s">
        <v>74</v>
      </c>
      <c r="D24" s="7" t="s">
        <v>31</v>
      </c>
      <c r="E24" s="5">
        <v>1</v>
      </c>
      <c r="F24" s="5">
        <v>2</v>
      </c>
      <c r="G24" s="5">
        <v>3</v>
      </c>
      <c r="H24" s="5">
        <v>3</v>
      </c>
      <c r="I24" s="5">
        <v>2</v>
      </c>
      <c r="J24" s="5">
        <v>2</v>
      </c>
      <c r="K24" s="5">
        <v>2</v>
      </c>
      <c r="L24" s="8">
        <f>SUM(F24:K24)</f>
      </c>
      <c r="M24" s="5">
        <f>IF(AND(T24="pass",U24="pass",V24="pass",W24="pass",COUNTIF(F24:K24,"unsupported")=0),"Shortlist","Review")</f>
      </c>
      <c r="N24" s="9"/>
      <c r="O24" s="10"/>
      <c r="P24" s="5">
        <f>(E24&lt;&gt;'Score reasons'!C21)+(F24&lt;&gt;'Score reasons'!F21)+(G24&lt;&gt;'Score reasons'!I21)+(H24&lt;&gt;'Score reasons'!L21)+(I24&lt;&gt;'Score reasons'!O21)+(J24&lt;&gt;'Score reasons'!R21)+(K24&lt;&gt;'Score reasons'!U21)</f>
      </c>
      <c r="Q24" s="11">
        <v>14</v>
      </c>
      <c r="R24" s="11">
        <v>7</v>
      </c>
      <c r="S24" s="11">
        <v>32</v>
      </c>
      <c r="T24" s="11" t="s">
        <v>32</v>
      </c>
      <c r="U24" s="11" t="s">
        <v>32</v>
      </c>
      <c r="V24" s="11" t="s">
        <v>32</v>
      </c>
      <c r="W24" s="11" t="s">
        <v>32</v>
      </c>
      <c r="X24" s="11" t="s">
        <v>33</v>
      </c>
      <c r="Y24" s="11">
        <v>4</v>
      </c>
      <c r="Z24" s="12" t="s">
        <v>75</v>
      </c>
    </row>
    <row r="25" spans="1:26" x14ac:dyDescent="0.25">
      <c r="A25" s="5">
        <v>21</v>
      </c>
      <c r="B25" s="5" t="s">
        <v>65</v>
      </c>
      <c r="C25" s="6" t="s">
        <v>76</v>
      </c>
      <c r="D25" s="7" t="s">
        <v>31</v>
      </c>
      <c r="E25" s="5">
        <v>1</v>
      </c>
      <c r="F25" s="5">
        <v>2</v>
      </c>
      <c r="G25" s="5">
        <v>2</v>
      </c>
      <c r="H25" s="5">
        <v>2</v>
      </c>
      <c r="I25" s="5">
        <v>3</v>
      </c>
      <c r="J25" s="5">
        <v>2</v>
      </c>
      <c r="K25" s="5">
        <v>2</v>
      </c>
      <c r="L25" s="8">
        <f>SUM(F25:K25)</f>
      </c>
      <c r="M25" s="5">
        <f>IF(AND(T25="pass",U25="pass",V25="pass",W25="pass",COUNTIF(F25:K25,"unsupported")=0),"Shortlist","Review")</f>
      </c>
      <c r="N25" s="9"/>
      <c r="O25" s="10"/>
      <c r="P25" s="5">
        <f>(E25&lt;&gt;'Score reasons'!C22)+(F25&lt;&gt;'Score reasons'!F22)+(G25&lt;&gt;'Score reasons'!I22)+(H25&lt;&gt;'Score reasons'!L22)+(I25&lt;&gt;'Score reasons'!O22)+(J25&lt;&gt;'Score reasons'!R22)+(K25&lt;&gt;'Score reasons'!U22)</f>
      </c>
      <c r="Q25" s="11">
        <v>13</v>
      </c>
      <c r="R25" s="11">
        <v>10</v>
      </c>
      <c r="S25" s="11">
        <v>12</v>
      </c>
      <c r="T25" s="11" t="s">
        <v>32</v>
      </c>
      <c r="U25" s="11" t="s">
        <v>32</v>
      </c>
      <c r="V25" s="11" t="s">
        <v>32</v>
      </c>
      <c r="W25" s="11" t="s">
        <v>32</v>
      </c>
      <c r="X25" s="11" t="s">
        <v>33</v>
      </c>
      <c r="Y25" s="11">
        <v>5</v>
      </c>
      <c r="Z25" s="12" t="s">
        <v>77</v>
      </c>
    </row>
    <row r="26" spans="1:26" x14ac:dyDescent="0.25">
      <c r="A26" s="5">
        <v>22</v>
      </c>
      <c r="B26" s="5" t="s">
        <v>65</v>
      </c>
      <c r="C26" s="6" t="s">
        <v>78</v>
      </c>
      <c r="D26" s="7" t="s">
        <v>31</v>
      </c>
      <c r="E26" s="5">
        <v>1</v>
      </c>
      <c r="F26" s="5">
        <v>1</v>
      </c>
      <c r="G26" s="5">
        <v>3</v>
      </c>
      <c r="H26" s="5">
        <v>3</v>
      </c>
      <c r="I26" s="5">
        <v>2</v>
      </c>
      <c r="J26" s="5">
        <v>2</v>
      </c>
      <c r="K26" s="5">
        <v>2</v>
      </c>
      <c r="L26" s="8">
        <f>SUM(F26:K26)</f>
      </c>
      <c r="M26" s="5">
        <f>IF(AND(T26="pass",U26="pass",V26="pass",W26="pass",COUNTIF(F26:K26,"unsupported")=0),"Shortlist","Review")</f>
      </c>
      <c r="N26" s="9"/>
      <c r="O26" s="10"/>
      <c r="P26" s="5">
        <f>(E26&lt;&gt;'Score reasons'!C23)+(F26&lt;&gt;'Score reasons'!F23)+(G26&lt;&gt;'Score reasons'!I23)+(H26&lt;&gt;'Score reasons'!L23)+(I26&lt;&gt;'Score reasons'!O23)+(J26&lt;&gt;'Score reasons'!R23)+(K26&lt;&gt;'Score reasons'!U23)</f>
      </c>
      <c r="Q26" s="11">
        <v>13</v>
      </c>
      <c r="R26" s="11">
        <v>7</v>
      </c>
      <c r="S26" s="11">
        <v>33</v>
      </c>
      <c r="T26" s="11" t="s">
        <v>32</v>
      </c>
      <c r="U26" s="11" t="s">
        <v>32</v>
      </c>
      <c r="V26" s="11" t="s">
        <v>32</v>
      </c>
      <c r="W26" s="11" t="s">
        <v>32</v>
      </c>
      <c r="X26" s="11" t="s">
        <v>33</v>
      </c>
      <c r="Y26" s="11">
        <v>5</v>
      </c>
      <c r="Z26" s="12" t="s">
        <v>79</v>
      </c>
    </row>
    <row r="27" spans="1:26" x14ac:dyDescent="0.25">
      <c r="A27" s="5">
        <v>23</v>
      </c>
      <c r="B27" s="5" t="s">
        <v>65</v>
      </c>
      <c r="C27" s="6" t="s">
        <v>80</v>
      </c>
      <c r="D27" s="7" t="s">
        <v>31</v>
      </c>
      <c r="E27" s="5">
        <v>1</v>
      </c>
      <c r="F27" s="5">
        <v>1</v>
      </c>
      <c r="G27" s="5">
        <v>3</v>
      </c>
      <c r="H27" s="5">
        <v>3</v>
      </c>
      <c r="I27" s="5">
        <v>2</v>
      </c>
      <c r="J27" s="5">
        <v>2</v>
      </c>
      <c r="K27" s="5">
        <v>2</v>
      </c>
      <c r="L27" s="8">
        <f>SUM(F27:K27)</f>
      </c>
      <c r="M27" s="5">
        <f>IF(AND(T27="pass",U27="pass",V27="pass",W27="pass",COUNTIF(F27:K27,"unsupported")=0),"Shortlist","Review")</f>
      </c>
      <c r="N27" s="9"/>
      <c r="O27" s="10"/>
      <c r="P27" s="5">
        <f>(E27&lt;&gt;'Score reasons'!C24)+(F27&lt;&gt;'Score reasons'!F24)+(G27&lt;&gt;'Score reasons'!I24)+(H27&lt;&gt;'Score reasons'!L24)+(I27&lt;&gt;'Score reasons'!O24)+(J27&lt;&gt;'Score reasons'!R24)+(K27&lt;&gt;'Score reasons'!U24)</f>
      </c>
      <c r="Q27" s="11">
        <v>13</v>
      </c>
      <c r="R27" s="11">
        <v>7</v>
      </c>
      <c r="S27" s="11">
        <v>34</v>
      </c>
      <c r="T27" s="11" t="s">
        <v>32</v>
      </c>
      <c r="U27" s="11" t="s">
        <v>32</v>
      </c>
      <c r="V27" s="11" t="s">
        <v>32</v>
      </c>
      <c r="W27" s="11" t="s">
        <v>32</v>
      </c>
      <c r="X27" s="11" t="s">
        <v>33</v>
      </c>
      <c r="Y27" s="11">
        <v>0</v>
      </c>
      <c r="Z27" s="12" t="s">
        <v>81</v>
      </c>
    </row>
    <row r="28" spans="1:26" x14ac:dyDescent="0.25">
      <c r="A28" s="5">
        <v>24</v>
      </c>
      <c r="B28" s="5" t="s">
        <v>65</v>
      </c>
      <c r="C28" s="6" t="s">
        <v>82</v>
      </c>
      <c r="D28" s="7" t="s">
        <v>31</v>
      </c>
      <c r="E28" s="5">
        <v>2</v>
      </c>
      <c r="F28" s="5">
        <v>2</v>
      </c>
      <c r="G28" s="5">
        <v>2</v>
      </c>
      <c r="H28" s="5">
        <v>2</v>
      </c>
      <c r="I28" s="5">
        <v>2</v>
      </c>
      <c r="J28" s="5">
        <v>2</v>
      </c>
      <c r="K28" s="5">
        <v>2</v>
      </c>
      <c r="L28" s="8">
        <f>SUM(F28:K28)</f>
      </c>
      <c r="M28" s="5">
        <f>IF(AND(T28="pass",U28="pass",V28="pass",W28="pass",COUNTIF(F28:K28,"unsupported")=0),"Shortlist","Review")</f>
      </c>
      <c r="N28" s="9"/>
      <c r="O28" s="10"/>
      <c r="P28" s="5">
        <f>(E28&lt;&gt;'Score reasons'!C25)+(F28&lt;&gt;'Score reasons'!F25)+(G28&lt;&gt;'Score reasons'!I25)+(H28&lt;&gt;'Score reasons'!L25)+(I28&lt;&gt;'Score reasons'!O25)+(J28&lt;&gt;'Score reasons'!R25)+(K28&lt;&gt;'Score reasons'!U25)</f>
      </c>
      <c r="Q28" s="11">
        <v>12</v>
      </c>
      <c r="R28" s="11">
        <v>11</v>
      </c>
      <c r="S28" s="11">
        <v>9</v>
      </c>
      <c r="T28" s="11" t="s">
        <v>32</v>
      </c>
      <c r="U28" s="11" t="s">
        <v>32</v>
      </c>
      <c r="V28" s="11" t="s">
        <v>32</v>
      </c>
      <c r="W28" s="11" t="s">
        <v>32</v>
      </c>
      <c r="X28" s="11" t="s">
        <v>33</v>
      </c>
      <c r="Y28" s="11">
        <v>46</v>
      </c>
      <c r="Z28" s="12" t="s">
        <v>83</v>
      </c>
    </row>
    <row r="29" spans="1:26" x14ac:dyDescent="0.25">
      <c r="A29" s="5">
        <v>25</v>
      </c>
      <c r="B29" s="5" t="s">
        <v>65</v>
      </c>
      <c r="C29" s="6" t="s">
        <v>84</v>
      </c>
      <c r="D29" s="7" t="s">
        <v>31</v>
      </c>
      <c r="E29" s="5">
        <v>1</v>
      </c>
      <c r="F29" s="5">
        <v>2</v>
      </c>
      <c r="G29" s="5">
        <v>2</v>
      </c>
      <c r="H29" s="5">
        <v>3</v>
      </c>
      <c r="I29" s="5">
        <v>2</v>
      </c>
      <c r="J29" s="5">
        <v>1</v>
      </c>
      <c r="K29" s="5">
        <v>2</v>
      </c>
      <c r="L29" s="8">
        <f>SUM(F29:K29)</f>
      </c>
      <c r="M29" s="5">
        <f>IF(AND(T29="pass",U29="pass",V29="pass",W29="pass",COUNTIF(F29:K29,"unsupported")=0),"Shortlist","Review")</f>
      </c>
      <c r="N29" s="9"/>
      <c r="O29" s="10"/>
      <c r="P29" s="5">
        <f>(E29&lt;&gt;'Score reasons'!C26)+(F29&lt;&gt;'Score reasons'!F26)+(G29&lt;&gt;'Score reasons'!I26)+(H29&lt;&gt;'Score reasons'!L26)+(I29&lt;&gt;'Score reasons'!O26)+(J29&lt;&gt;'Score reasons'!R26)+(K29&lt;&gt;'Score reasons'!U26)</f>
      </c>
      <c r="Q29" s="11">
        <v>12</v>
      </c>
      <c r="R29" s="11">
        <v>9</v>
      </c>
      <c r="S29" s="11">
        <v>16</v>
      </c>
      <c r="T29" s="11" t="s">
        <v>32</v>
      </c>
      <c r="U29" s="11" t="s">
        <v>32</v>
      </c>
      <c r="V29" s="11" t="s">
        <v>32</v>
      </c>
      <c r="W29" s="11" t="s">
        <v>32</v>
      </c>
      <c r="X29" s="11" t="s">
        <v>33</v>
      </c>
      <c r="Y29" s="11">
        <v>0</v>
      </c>
      <c r="Z29" s="12" t="s">
        <v>85</v>
      </c>
    </row>
    <row r="30" spans="1:26" x14ac:dyDescent="0.25">
      <c r="A30" s="5">
        <v>26</v>
      </c>
      <c r="B30" s="5" t="s">
        <v>65</v>
      </c>
      <c r="C30" s="6" t="s">
        <v>86</v>
      </c>
      <c r="D30" s="7" t="s">
        <v>31</v>
      </c>
      <c r="E30" s="5">
        <v>1</v>
      </c>
      <c r="F30" s="5">
        <v>1</v>
      </c>
      <c r="G30" s="5">
        <v>2</v>
      </c>
      <c r="H30" s="5">
        <v>2</v>
      </c>
      <c r="I30" s="5">
        <v>3</v>
      </c>
      <c r="J30" s="5">
        <v>2</v>
      </c>
      <c r="K30" s="5">
        <v>2</v>
      </c>
      <c r="L30" s="8">
        <f>SUM(F30:K30)</f>
      </c>
      <c r="M30" s="5">
        <f>IF(AND(T30="pass",U30="pass",V30="pass",W30="pass",COUNTIF(F30:K30,"unsupported")=0),"Shortlist","Review")</f>
      </c>
      <c r="N30" s="9"/>
      <c r="O30" s="10"/>
      <c r="P30" s="5">
        <f>(E30&lt;&gt;'Score reasons'!C27)+(F30&lt;&gt;'Score reasons'!F27)+(G30&lt;&gt;'Score reasons'!I27)+(H30&lt;&gt;'Score reasons'!L27)+(I30&lt;&gt;'Score reasons'!O27)+(J30&lt;&gt;'Score reasons'!R27)+(K30&lt;&gt;'Score reasons'!U27)</f>
      </c>
      <c r="Q30" s="11">
        <v>12</v>
      </c>
      <c r="R30" s="11">
        <v>8</v>
      </c>
      <c r="S30" s="11">
        <v>31</v>
      </c>
      <c r="T30" s="11" t="s">
        <v>32</v>
      </c>
      <c r="U30" s="11" t="s">
        <v>32</v>
      </c>
      <c r="V30" s="11" t="s">
        <v>32</v>
      </c>
      <c r="W30" s="11" t="s">
        <v>32</v>
      </c>
      <c r="X30" s="11" t="s">
        <v>33</v>
      </c>
      <c r="Y30" s="11">
        <v>0</v>
      </c>
      <c r="Z30" s="12" t="s">
        <v>87</v>
      </c>
    </row>
    <row r="31" spans="1:26" x14ac:dyDescent="0.25">
      <c r="A31" s="5">
        <v>27</v>
      </c>
      <c r="B31" s="5" t="s">
        <v>65</v>
      </c>
      <c r="C31" s="6" t="s">
        <v>88</v>
      </c>
      <c r="D31" s="7" t="s">
        <v>31</v>
      </c>
      <c r="E31" s="5">
        <v>1</v>
      </c>
      <c r="F31" s="5">
        <v>2</v>
      </c>
      <c r="G31" s="5">
        <v>1</v>
      </c>
      <c r="H31" s="5">
        <v>3</v>
      </c>
      <c r="I31" s="5">
        <v>2</v>
      </c>
      <c r="J31" s="5">
        <v>2</v>
      </c>
      <c r="K31" s="5">
        <v>2</v>
      </c>
      <c r="L31" s="8">
        <f>SUM(F31:K31)</f>
      </c>
      <c r="M31" s="5">
        <f>IF(AND(T31="pass",U31="pass",V31="pass",W31="pass",COUNTIF(F31:K31,"unsupported")=0),"Shortlist","Review")</f>
      </c>
      <c r="N31" s="9"/>
      <c r="O31" s="10"/>
      <c r="P31" s="5">
        <f>(E31&lt;&gt;'Score reasons'!C28)+(F31&lt;&gt;'Score reasons'!F28)+(G31&lt;&gt;'Score reasons'!I28)+(H31&lt;&gt;'Score reasons'!L28)+(I31&lt;&gt;'Score reasons'!O28)+(J31&lt;&gt;'Score reasons'!R28)+(K31&lt;&gt;'Score reasons'!U28)</f>
      </c>
      <c r="Q31" s="11">
        <v>12</v>
      </c>
      <c r="R31" s="11">
        <v>7</v>
      </c>
      <c r="S31" s="11">
        <v>35</v>
      </c>
      <c r="T31" s="11" t="s">
        <v>32</v>
      </c>
      <c r="U31" s="11" t="s">
        <v>32</v>
      </c>
      <c r="V31" s="11" t="s">
        <v>32</v>
      </c>
      <c r="W31" s="11" t="s">
        <v>32</v>
      </c>
      <c r="X31" s="11" t="s">
        <v>33</v>
      </c>
      <c r="Y31" s="11">
        <v>0</v>
      </c>
      <c r="Z31" s="12" t="s">
        <v>89</v>
      </c>
    </row>
    <row r="32" spans="1:26" x14ac:dyDescent="0.25">
      <c r="A32" s="5">
        <v>28</v>
      </c>
      <c r="B32" s="5" t="s">
        <v>90</v>
      </c>
      <c r="C32" s="6" t="s">
        <v>91</v>
      </c>
      <c r="D32" s="7" t="s">
        <v>31</v>
      </c>
      <c r="E32" s="5">
        <v>3</v>
      </c>
      <c r="F32" s="5">
        <v>3</v>
      </c>
      <c r="G32" s="5">
        <v>1</v>
      </c>
      <c r="H32" s="5">
        <v>3</v>
      </c>
      <c r="I32" s="5">
        <v>1</v>
      </c>
      <c r="J32" s="5" t="s">
        <v>92</v>
      </c>
      <c r="K32" s="5">
        <v>3</v>
      </c>
      <c r="L32" s="8">
        <f>SUM(E32:I32)+K32</f>
      </c>
      <c r="M32" s="5">
        <f>IF(L32&gt;=15,"Shortlist",IF(L32&lt;10,"Drop","Middle"))</f>
      </c>
      <c r="N32" s="9"/>
      <c r="O32" s="10"/>
      <c r="P32" s="5">
        <f>(E32&lt;&gt;'Score reasons'!C29)+(F32&lt;&gt;'Score reasons'!F29)+(G32&lt;&gt;'Score reasons'!I29)+(H32&lt;&gt;'Score reasons'!L29)+(I32&lt;&gt;'Score reasons'!O29)+(J32&lt;&gt;'Score reasons'!R29)+(K32&lt;&gt;'Score reasons'!U29)</f>
      </c>
      <c r="Q32" s="11">
        <v>14</v>
      </c>
      <c r="R32" s="11">
        <v>14</v>
      </c>
      <c r="S32" s="11">
        <v>1</v>
      </c>
      <c r="T32" s="11" t="s">
        <v>93</v>
      </c>
      <c r="U32" s="11" t="s">
        <v>93</v>
      </c>
      <c r="V32" s="11" t="s">
        <v>93</v>
      </c>
      <c r="W32" s="11" t="s">
        <v>93</v>
      </c>
      <c r="X32" s="11" t="s">
        <v>93</v>
      </c>
      <c r="Y32" s="11" t="s">
        <v>93</v>
      </c>
      <c r="Z32" s="12" t="s">
        <v>91</v>
      </c>
    </row>
    <row r="33" spans="1:26" x14ac:dyDescent="0.25">
      <c r="A33" s="5">
        <v>29</v>
      </c>
      <c r="B33" s="5" t="s">
        <v>90</v>
      </c>
      <c r="C33" s="6" t="s">
        <v>94</v>
      </c>
      <c r="D33" s="7" t="s">
        <v>31</v>
      </c>
      <c r="E33" s="5">
        <v>3</v>
      </c>
      <c r="F33" s="5">
        <v>3</v>
      </c>
      <c r="G33" s="5">
        <v>1</v>
      </c>
      <c r="H33" s="5">
        <v>3</v>
      </c>
      <c r="I33" s="5">
        <v>1</v>
      </c>
      <c r="J33" s="5" t="s">
        <v>92</v>
      </c>
      <c r="K33" s="5">
        <v>3</v>
      </c>
      <c r="L33" s="8">
        <f>SUM(E33:I33)+K33</f>
      </c>
      <c r="M33" s="5">
        <f>IF(L33&gt;=15,"Shortlist",IF(L33&lt;10,"Drop","Middle"))</f>
      </c>
      <c r="N33" s="9"/>
      <c r="O33" s="10"/>
      <c r="P33" s="5">
        <f>(E33&lt;&gt;'Score reasons'!C30)+(F33&lt;&gt;'Score reasons'!F30)+(G33&lt;&gt;'Score reasons'!I30)+(H33&lt;&gt;'Score reasons'!L30)+(I33&lt;&gt;'Score reasons'!O30)+(J33&lt;&gt;'Score reasons'!R30)+(K33&lt;&gt;'Score reasons'!U30)</f>
      </c>
      <c r="Q33" s="11">
        <v>14</v>
      </c>
      <c r="R33" s="11">
        <v>14</v>
      </c>
      <c r="S33" s="11">
        <v>2</v>
      </c>
      <c r="T33" s="11" t="s">
        <v>93</v>
      </c>
      <c r="U33" s="11" t="s">
        <v>93</v>
      </c>
      <c r="V33" s="11" t="s">
        <v>93</v>
      </c>
      <c r="W33" s="11" t="s">
        <v>93</v>
      </c>
      <c r="X33" s="11" t="s">
        <v>93</v>
      </c>
      <c r="Y33" s="11" t="s">
        <v>93</v>
      </c>
      <c r="Z33" s="12" t="s">
        <v>94</v>
      </c>
    </row>
    <row r="34" spans="1:26" x14ac:dyDescent="0.25">
      <c r="A34" s="5">
        <v>30</v>
      </c>
      <c r="B34" s="5" t="s">
        <v>90</v>
      </c>
      <c r="C34" s="6" t="s">
        <v>95</v>
      </c>
      <c r="D34" s="7" t="s">
        <v>31</v>
      </c>
      <c r="E34" s="5">
        <v>3</v>
      </c>
      <c r="F34" s="5">
        <v>3</v>
      </c>
      <c r="G34" s="5">
        <v>1</v>
      </c>
      <c r="H34" s="5">
        <v>3</v>
      </c>
      <c r="I34" s="5">
        <v>1</v>
      </c>
      <c r="J34" s="5" t="s">
        <v>92</v>
      </c>
      <c r="K34" s="5">
        <v>3</v>
      </c>
      <c r="L34" s="8">
        <f>SUM(E34:I34)+K34</f>
      </c>
      <c r="M34" s="5">
        <f>IF(L34&gt;=15,"Shortlist",IF(L34&lt;10,"Drop","Middle"))</f>
      </c>
      <c r="N34" s="9"/>
      <c r="O34" s="10"/>
      <c r="P34" s="5">
        <f>(E34&lt;&gt;'Score reasons'!C31)+(F34&lt;&gt;'Score reasons'!F31)+(G34&lt;&gt;'Score reasons'!I31)+(H34&lt;&gt;'Score reasons'!L31)+(I34&lt;&gt;'Score reasons'!O31)+(J34&lt;&gt;'Score reasons'!R31)+(K34&lt;&gt;'Score reasons'!U31)</f>
      </c>
      <c r="Q34" s="11">
        <v>14</v>
      </c>
      <c r="R34" s="11">
        <v>14</v>
      </c>
      <c r="S34" s="11">
        <v>3</v>
      </c>
      <c r="T34" s="11" t="s">
        <v>93</v>
      </c>
      <c r="U34" s="11" t="s">
        <v>93</v>
      </c>
      <c r="V34" s="11" t="s">
        <v>93</v>
      </c>
      <c r="W34" s="11" t="s">
        <v>93</v>
      </c>
      <c r="X34" s="11" t="s">
        <v>93</v>
      </c>
      <c r="Y34" s="11" t="s">
        <v>93</v>
      </c>
      <c r="Z34" s="12" t="s">
        <v>95</v>
      </c>
    </row>
    <row r="35" spans="1:26" x14ac:dyDescent="0.25">
      <c r="A35" s="5">
        <v>31</v>
      </c>
      <c r="B35" s="5" t="s">
        <v>90</v>
      </c>
      <c r="C35" s="6" t="s">
        <v>96</v>
      </c>
      <c r="D35" s="7" t="s">
        <v>31</v>
      </c>
      <c r="E35" s="5">
        <v>3</v>
      </c>
      <c r="F35" s="5">
        <v>3</v>
      </c>
      <c r="G35" s="5">
        <v>1</v>
      </c>
      <c r="H35" s="5">
        <v>3</v>
      </c>
      <c r="I35" s="5">
        <v>1</v>
      </c>
      <c r="J35" s="5" t="s">
        <v>92</v>
      </c>
      <c r="K35" s="5">
        <v>3</v>
      </c>
      <c r="L35" s="8">
        <f>SUM(E35:I35)+K35</f>
      </c>
      <c r="M35" s="5">
        <f>IF(L35&gt;=15,"Shortlist",IF(L35&lt;10,"Drop","Middle"))</f>
      </c>
      <c r="N35" s="9"/>
      <c r="O35" s="10"/>
      <c r="P35" s="5">
        <f>(E35&lt;&gt;'Score reasons'!C32)+(F35&lt;&gt;'Score reasons'!F32)+(G35&lt;&gt;'Score reasons'!I32)+(H35&lt;&gt;'Score reasons'!L32)+(I35&lt;&gt;'Score reasons'!O32)+(J35&lt;&gt;'Score reasons'!R32)+(K35&lt;&gt;'Score reasons'!U32)</f>
      </c>
      <c r="Q35" s="11">
        <v>14</v>
      </c>
      <c r="R35" s="11">
        <v>14</v>
      </c>
      <c r="S35" s="11">
        <v>4</v>
      </c>
      <c r="T35" s="11" t="s">
        <v>93</v>
      </c>
      <c r="U35" s="11" t="s">
        <v>93</v>
      </c>
      <c r="V35" s="11" t="s">
        <v>93</v>
      </c>
      <c r="W35" s="11" t="s">
        <v>93</v>
      </c>
      <c r="X35" s="11" t="s">
        <v>93</v>
      </c>
      <c r="Y35" s="11" t="s">
        <v>93</v>
      </c>
      <c r="Z35" s="12" t="s">
        <v>96</v>
      </c>
    </row>
    <row r="36" spans="1:26" x14ac:dyDescent="0.25">
      <c r="A36" s="5">
        <v>32</v>
      </c>
      <c r="B36" s="5" t="s">
        <v>90</v>
      </c>
      <c r="C36" s="6" t="s">
        <v>97</v>
      </c>
      <c r="D36" s="7" t="s">
        <v>31</v>
      </c>
      <c r="E36" s="5">
        <v>3</v>
      </c>
      <c r="F36" s="5">
        <v>3</v>
      </c>
      <c r="G36" s="5">
        <v>1</v>
      </c>
      <c r="H36" s="5">
        <v>3</v>
      </c>
      <c r="I36" s="5">
        <v>1</v>
      </c>
      <c r="J36" s="5" t="s">
        <v>92</v>
      </c>
      <c r="K36" s="5">
        <v>3</v>
      </c>
      <c r="L36" s="8">
        <f>SUM(E36:I36)+K36</f>
      </c>
      <c r="M36" s="5">
        <f>IF(L36&gt;=15,"Shortlist",IF(L36&lt;10,"Drop","Middle"))</f>
      </c>
      <c r="N36" s="9"/>
      <c r="O36" s="10"/>
      <c r="P36" s="5">
        <f>(E36&lt;&gt;'Score reasons'!C33)+(F36&lt;&gt;'Score reasons'!F33)+(G36&lt;&gt;'Score reasons'!I33)+(H36&lt;&gt;'Score reasons'!L33)+(I36&lt;&gt;'Score reasons'!O33)+(J36&lt;&gt;'Score reasons'!R33)+(K36&lt;&gt;'Score reasons'!U33)</f>
      </c>
      <c r="Q36" s="11">
        <v>14</v>
      </c>
      <c r="R36" s="11">
        <v>14</v>
      </c>
      <c r="S36" s="11">
        <v>5</v>
      </c>
      <c r="T36" s="11" t="s">
        <v>93</v>
      </c>
      <c r="U36" s="11" t="s">
        <v>93</v>
      </c>
      <c r="V36" s="11" t="s">
        <v>93</v>
      </c>
      <c r="W36" s="11" t="s">
        <v>93</v>
      </c>
      <c r="X36" s="11" t="s">
        <v>93</v>
      </c>
      <c r="Y36" s="11" t="s">
        <v>93</v>
      </c>
      <c r="Z36" s="12" t="s">
        <v>97</v>
      </c>
    </row>
    <row r="37" spans="1:26" x14ac:dyDescent="0.25">
      <c r="A37" s="5">
        <v>33</v>
      </c>
      <c r="B37" s="5" t="s">
        <v>90</v>
      </c>
      <c r="C37" s="6" t="s">
        <v>98</v>
      </c>
      <c r="D37" s="7" t="s">
        <v>31</v>
      </c>
      <c r="E37" s="5">
        <v>3</v>
      </c>
      <c r="F37" s="5">
        <v>3</v>
      </c>
      <c r="G37" s="5">
        <v>1</v>
      </c>
      <c r="H37" s="5">
        <v>3</v>
      </c>
      <c r="I37" s="5">
        <v>1</v>
      </c>
      <c r="J37" s="5" t="s">
        <v>92</v>
      </c>
      <c r="K37" s="5">
        <v>3</v>
      </c>
      <c r="L37" s="8">
        <f>SUM(E37:I37)+K37</f>
      </c>
      <c r="M37" s="5">
        <f>IF(L37&gt;=15,"Shortlist",IF(L37&lt;10,"Drop","Middle"))</f>
      </c>
      <c r="N37" s="9"/>
      <c r="O37" s="10"/>
      <c r="P37" s="5">
        <f>(E37&lt;&gt;'Score reasons'!C34)+(F37&lt;&gt;'Score reasons'!F34)+(G37&lt;&gt;'Score reasons'!I34)+(H37&lt;&gt;'Score reasons'!L34)+(I37&lt;&gt;'Score reasons'!O34)+(J37&lt;&gt;'Score reasons'!R34)+(K37&lt;&gt;'Score reasons'!U34)</f>
      </c>
      <c r="Q37" s="11">
        <v>14</v>
      </c>
      <c r="R37" s="11">
        <v>14</v>
      </c>
      <c r="S37" s="11">
        <v>6</v>
      </c>
      <c r="T37" s="11" t="s">
        <v>93</v>
      </c>
      <c r="U37" s="11" t="s">
        <v>93</v>
      </c>
      <c r="V37" s="11" t="s">
        <v>93</v>
      </c>
      <c r="W37" s="11" t="s">
        <v>93</v>
      </c>
      <c r="X37" s="11" t="s">
        <v>93</v>
      </c>
      <c r="Y37" s="11" t="s">
        <v>93</v>
      </c>
      <c r="Z37" s="12" t="s">
        <v>98</v>
      </c>
    </row>
    <row r="38" spans="1:26" x14ac:dyDescent="0.25">
      <c r="A38" s="5">
        <v>34</v>
      </c>
      <c r="B38" s="5" t="s">
        <v>90</v>
      </c>
      <c r="C38" s="6" t="s">
        <v>99</v>
      </c>
      <c r="D38" s="7" t="s">
        <v>31</v>
      </c>
      <c r="E38" s="5">
        <v>1</v>
      </c>
      <c r="F38" s="5">
        <v>2</v>
      </c>
      <c r="G38" s="5">
        <v>1</v>
      </c>
      <c r="H38" s="5">
        <v>3</v>
      </c>
      <c r="I38" s="5">
        <v>1</v>
      </c>
      <c r="J38" s="5" t="s">
        <v>92</v>
      </c>
      <c r="K38" s="5">
        <v>3</v>
      </c>
      <c r="L38" s="8">
        <f>SUM(E38:I38)+K38</f>
      </c>
      <c r="M38" s="5">
        <f>IF(L38&gt;=15,"Shortlist",IF(L38&lt;10,"Drop","Middle"))</f>
      </c>
      <c r="N38" s="9"/>
      <c r="O38" s="10"/>
      <c r="P38" s="5">
        <f>(E38&lt;&gt;'Score reasons'!C35)+(F38&lt;&gt;'Score reasons'!F35)+(G38&lt;&gt;'Score reasons'!I35)+(H38&lt;&gt;'Score reasons'!L35)+(I38&lt;&gt;'Score reasons'!O35)+(J38&lt;&gt;'Score reasons'!R35)+(K38&lt;&gt;'Score reasons'!U35)</f>
      </c>
      <c r="Q38" s="11">
        <v>11</v>
      </c>
      <c r="R38" s="11">
        <v>11</v>
      </c>
      <c r="S38" s="11">
        <v>10</v>
      </c>
      <c r="T38" s="11" t="s">
        <v>93</v>
      </c>
      <c r="U38" s="11" t="s">
        <v>93</v>
      </c>
      <c r="V38" s="11" t="s">
        <v>93</v>
      </c>
      <c r="W38" s="11" t="s">
        <v>93</v>
      </c>
      <c r="X38" s="11" t="s">
        <v>93</v>
      </c>
      <c r="Y38" s="11" t="s">
        <v>93</v>
      </c>
      <c r="Z38" s="12" t="s">
        <v>99</v>
      </c>
    </row>
    <row r="39" spans="1:26" x14ac:dyDescent="0.25">
      <c r="A39" s="5">
        <v>35</v>
      </c>
      <c r="B39" s="5" t="s">
        <v>90</v>
      </c>
      <c r="C39" s="6" t="s">
        <v>100</v>
      </c>
      <c r="D39" s="7" t="s">
        <v>31</v>
      </c>
      <c r="E39" s="5">
        <v>1</v>
      </c>
      <c r="F39" s="5">
        <v>2</v>
      </c>
      <c r="G39" s="5">
        <v>1</v>
      </c>
      <c r="H39" s="5">
        <v>3</v>
      </c>
      <c r="I39" s="5">
        <v>1</v>
      </c>
      <c r="J39" s="5" t="s">
        <v>92</v>
      </c>
      <c r="K39" s="5">
        <v>3</v>
      </c>
      <c r="L39" s="8">
        <f>SUM(E39:I39)+K39</f>
      </c>
      <c r="M39" s="5">
        <f>IF(L39&gt;=15,"Shortlist",IF(L39&lt;10,"Drop","Middle"))</f>
      </c>
      <c r="N39" s="9"/>
      <c r="O39" s="10"/>
      <c r="P39" s="5">
        <f>(E39&lt;&gt;'Score reasons'!C36)+(F39&lt;&gt;'Score reasons'!F36)+(G39&lt;&gt;'Score reasons'!I36)+(H39&lt;&gt;'Score reasons'!L36)+(I39&lt;&gt;'Score reasons'!O36)+(J39&lt;&gt;'Score reasons'!R36)+(K39&lt;&gt;'Score reasons'!U36)</f>
      </c>
      <c r="Q39" s="11">
        <v>11</v>
      </c>
      <c r="R39" s="11">
        <v>11</v>
      </c>
      <c r="S39" s="11">
        <v>11</v>
      </c>
      <c r="T39" s="11" t="s">
        <v>93</v>
      </c>
      <c r="U39" s="11" t="s">
        <v>93</v>
      </c>
      <c r="V39" s="11" t="s">
        <v>93</v>
      </c>
      <c r="W39" s="11" t="s">
        <v>93</v>
      </c>
      <c r="X39" s="11" t="s">
        <v>93</v>
      </c>
      <c r="Y39" s="11" t="s">
        <v>93</v>
      </c>
      <c r="Z39" s="12" t="s">
        <v>100</v>
      </c>
    </row>
  </sheetData>
  <autoFilter ref="A4:Z39"/>
  <mergeCells count="2">
    <mergeCell ref="A2:Z2"/>
    <mergeCell ref="A3:Z3"/>
  </mergeCells>
  <conditionalFormatting sqref="E5:K39">
    <cfRule type="cellIs" dxfId="0" priority="1" operator="equal">
      <formula>3</formula>
    </cfRule>
    <cfRule type="cellIs" dxfId="1" priority="2" operator="equal">
      <formula>2</formula>
    </cfRule>
    <cfRule type="cellIs" dxfId="2" priority="3" operator="equal">
      <formula>1</formula>
    </cfRule>
  </conditionalFormatting>
  <conditionalFormatting sqref="L5:L39">
    <cfRule type="cellIs" dxfId="3" priority="4" operator="greaterThan">
      <formula>14</formula>
    </cfRule>
    <cfRule type="cellIs" dxfId="4" priority="5" operator="between">
      <formula>10</formula>
      <formula>14</formula>
    </cfRule>
    <cfRule type="cellIs" dxfId="5" priority="6" operator="lessThan">
      <formula>10</formula>
    </cfRule>
  </conditionalFormatting>
  <conditionalFormatting sqref="M5:M39">
    <cfRule type="expression" dxfId="6" priority="7">
      <formula>$M5="Shortlist"</formula>
    </cfRule>
    <cfRule type="expression" dxfId="7" priority="8">
      <formula>$M5="Middle"</formula>
    </cfRule>
    <cfRule type="expression" dxfId="8" priority="9">
      <formula>$M5="Drop"</formula>
    </cfRule>
  </conditionalFormatting>
  <conditionalFormatting sqref="M5:M39">
    <cfRule type="expression" dxfId="9" priority="16">
      <formula>$M5="Review"</formula>
    </cfRule>
  </conditionalFormatting>
  <conditionalFormatting sqref="N5:N39">
    <cfRule type="expression" dxfId="10" priority="10">
      <formula>$N5="yes"</formula>
    </cfRule>
    <cfRule type="expression" dxfId="11" priority="11">
      <formula>$N5="maybe"</formula>
    </cfRule>
    <cfRule type="expression" dxfId="12" priority="12">
      <formula>$N5="no"</formula>
    </cfRule>
  </conditionalFormatting>
  <conditionalFormatting sqref="T5:W39">
    <cfRule type="expression" dxfId="13" priority="13">
      <formula>T5="pass"</formula>
    </cfRule>
    <cfRule type="expression" dxfId="14" priority="14">
      <formula>T5="unsupported"</formula>
    </cfRule>
    <cfRule type="expression" dxfId="15" priority="15">
      <formula>LEFT(T5,4)="FAIL"</formula>
    </cfRule>
  </conditionalFormatting>
  <dataValidations count="4">
    <dataValidation type="whole" showErrorMessage="1" errorTitle="Score" error="Scores are whole numbers from 1 to 3." sqref="E10:K39">
      <formula1>1</formula1>
      <formula2>3</formula2>
    </dataValidation>
    <dataValidation type="whole" showErrorMessage="1" errorTitle="Score" error="Scores are whole numbers from 1 to 3." sqref="E5:K39">
      <formula1>1</formula1>
      <formula2>3</formula2>
    </dataValidation>
    <dataValidation type="list" allowBlank="1" showErrorMessage="1" errorTitle="Pursue?" error="Choose yes, maybe, or no." sqref="N10:N39">
      <formula1>"yes,maybe,no"</formula1>
    </dataValidation>
    <dataValidation type="list" allowBlank="1" showErrorMessage="1" errorTitle="Pursue?" error="Choose yes, maybe, or no." sqref="N5:N39">
      <formula1>"yes,maybe,no"</formula1>
    </dataValidation>
  </dataValidations>
  <hyperlinks>
    <hyperlink ref="D5" r:id="rId1"/>
    <hyperlink ref="D6" r:id="rId2"/>
    <hyperlink ref="D7" r:id="rId3"/>
    <hyperlink ref="D8" r:id="rId4"/>
    <hyperlink ref="D9" r:id="rId5"/>
    <hyperlink ref="D10" r:id="rId6"/>
    <hyperlink ref="D11" r:id="rId7"/>
    <hyperlink ref="D12" r:id="rId8"/>
    <hyperlink ref="D13" r:id="rId9"/>
    <hyperlink ref="D14" r:id="rId10"/>
    <hyperlink ref="D15" r:id="rId11"/>
    <hyperlink ref="D16" r:id="rId12"/>
    <hyperlink ref="D17" r:id="rId13"/>
    <hyperlink ref="D18" r:id="rId14"/>
    <hyperlink ref="D19" r:id="rId15"/>
    <hyperlink ref="D20" r:id="rId16"/>
    <hyperlink ref="D21" r:id="rId17"/>
    <hyperlink ref="D22" r:id="rId18"/>
    <hyperlink ref="D23" r:id="rId19"/>
    <hyperlink ref="D24" r:id="rId20"/>
    <hyperlink ref="D25" r:id="rId21"/>
    <hyperlink ref="D26" r:id="rId22"/>
    <hyperlink ref="D27" r:id="rId23"/>
    <hyperlink ref="D28" r:id="rId24"/>
    <hyperlink ref="D29" r:id="rId25"/>
    <hyperlink ref="D30" r:id="rId26"/>
    <hyperlink ref="D31" r:id="rId27"/>
    <hyperlink ref="D32" r:id="rId28"/>
    <hyperlink ref="D33" r:id="rId29"/>
    <hyperlink ref="D34" r:id="rId30"/>
    <hyperlink ref="D35" r:id="rId31"/>
    <hyperlink ref="D36" r:id="rId32"/>
    <hyperlink ref="D37" r:id="rId33"/>
    <hyperlink ref="D38" r:id="rId34"/>
    <hyperlink ref="D39" r:id="rId35"/>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36"/>
  <sheetViews>
    <sheetView workbookViewId="0">
      <pane xSplit="2" ySplit="1" topLeftCell="C2" activePane="bottomRight" state="frozen"/>
      <selection pane="bottomRight"/>
    </sheetView>
  </sheetViews>
  <sheetFormatPr defaultRowHeight="15" outlineLevelRow="0" outlineLevelCol="0" x14ac:dyDescent="55"/>
  <cols>
    <col min="1" max="1" width="5" customWidth="1"/>
    <col min="2" max="2" width="45" customWidth="1"/>
    <col min="3" max="3" width="8" customWidth="1"/>
    <col min="4" max="4" width="16" customWidth="1"/>
    <col min="5" max="5" width="40" customWidth="1"/>
    <col min="6" max="6" width="8" customWidth="1"/>
    <col min="7" max="7" width="16" customWidth="1"/>
    <col min="8" max="8" width="40" customWidth="1"/>
    <col min="9" max="9" width="8" customWidth="1"/>
    <col min="10" max="10" width="16" customWidth="1"/>
    <col min="11" max="11" width="40" customWidth="1"/>
    <col min="12" max="12" width="8" customWidth="1"/>
    <col min="13" max="13" width="16" customWidth="1"/>
    <col min="14" max="14" width="40" customWidth="1"/>
    <col min="15" max="15" width="8" customWidth="1"/>
    <col min="16" max="16" width="16" customWidth="1"/>
    <col min="17" max="17" width="40" customWidth="1"/>
    <col min="18" max="18" width="8" customWidth="1"/>
    <col min="19" max="19" width="16" customWidth="1"/>
    <col min="20" max="20" width="40" customWidth="1"/>
    <col min="21" max="21" width="8" customWidth="1"/>
    <col min="22" max="22" width="16" customWidth="1"/>
    <col min="23" max="23" width="40" customWidth="1"/>
    <col min="24" max="24" width="14" customWidth="1"/>
    <col min="25" max="25" width="40" customWidth="1"/>
    <col min="26" max="26" width="14" customWidth="1"/>
    <col min="27" max="27" width="40" customWidth="1"/>
    <col min="28" max="28" width="14" customWidth="1"/>
    <col min="29" max="29" width="40" customWidth="1"/>
    <col min="30" max="30" width="14" customWidth="1"/>
    <col min="31" max="31" width="40" customWidth="1"/>
  </cols>
  <sheetData>
    <row r="1" ht="30" customHeight="1" spans="1:31" x14ac:dyDescent="0.25">
      <c r="A1" s="4" t="s">
        <v>3</v>
      </c>
      <c r="B1" s="4" t="s">
        <v>5</v>
      </c>
      <c r="C1" s="4" t="s">
        <v>101</v>
      </c>
      <c r="D1" s="4" t="s">
        <v>102</v>
      </c>
      <c r="E1" s="4" t="s">
        <v>103</v>
      </c>
      <c r="F1" s="4" t="s">
        <v>104</v>
      </c>
      <c r="G1" s="4" t="s">
        <v>105</v>
      </c>
      <c r="H1" s="4" t="s">
        <v>106</v>
      </c>
      <c r="I1" s="4" t="s">
        <v>107</v>
      </c>
      <c r="J1" s="4" t="s">
        <v>108</v>
      </c>
      <c r="K1" s="4" t="s">
        <v>109</v>
      </c>
      <c r="L1" s="4" t="s">
        <v>110</v>
      </c>
      <c r="M1" s="4" t="s">
        <v>111</v>
      </c>
      <c r="N1" s="4" t="s">
        <v>112</v>
      </c>
      <c r="O1" s="4" t="s">
        <v>113</v>
      </c>
      <c r="P1" s="4" t="s">
        <v>114</v>
      </c>
      <c r="Q1" s="4" t="s">
        <v>115</v>
      </c>
      <c r="R1" s="4" t="s">
        <v>116</v>
      </c>
      <c r="S1" s="4" t="s">
        <v>117</v>
      </c>
      <c r="T1" s="4" t="s">
        <v>118</v>
      </c>
      <c r="U1" s="4" t="s">
        <v>119</v>
      </c>
      <c r="V1" s="4" t="s">
        <v>120</v>
      </c>
      <c r="W1" s="4" t="s">
        <v>121</v>
      </c>
      <c r="X1" s="4" t="s">
        <v>122</v>
      </c>
      <c r="Y1" s="4" t="s">
        <v>123</v>
      </c>
      <c r="Z1" s="4" t="s">
        <v>124</v>
      </c>
      <c r="AA1" s="4" t="s">
        <v>125</v>
      </c>
      <c r="AB1" s="4" t="s">
        <v>126</v>
      </c>
      <c r="AC1" s="4" t="s">
        <v>127</v>
      </c>
      <c r="AD1" s="4" t="s">
        <v>128</v>
      </c>
      <c r="AE1" s="4" t="s">
        <v>129</v>
      </c>
    </row>
    <row r="2" spans="1:31" x14ac:dyDescent="0.25">
      <c r="A2" s="6">
        <v>1</v>
      </c>
      <c r="B2" s="6" t="s">
        <v>30</v>
      </c>
      <c r="C2" s="6">
        <v>1</v>
      </c>
      <c r="D2" s="6" t="s">
        <v>130</v>
      </c>
      <c r="E2" s="6" t="s">
        <v>131</v>
      </c>
      <c r="F2" s="6">
        <v>2</v>
      </c>
      <c r="G2" s="6" t="s">
        <v>132</v>
      </c>
      <c r="H2" s="6" t="s">
        <v>133</v>
      </c>
      <c r="I2" s="6">
        <v>2</v>
      </c>
      <c r="J2" s="6" t="s">
        <v>132</v>
      </c>
      <c r="K2" s="6" t="s">
        <v>134</v>
      </c>
      <c r="L2" s="6">
        <v>3</v>
      </c>
      <c r="M2" s="6" t="s">
        <v>132</v>
      </c>
      <c r="N2" s="6" t="s">
        <v>135</v>
      </c>
      <c r="O2" s="6">
        <v>3</v>
      </c>
      <c r="P2" s="6" t="s">
        <v>132</v>
      </c>
      <c r="Q2" s="6" t="s">
        <v>136</v>
      </c>
      <c r="R2" s="6">
        <v>3</v>
      </c>
      <c r="S2" s="6" t="s">
        <v>132</v>
      </c>
      <c r="T2" s="6" t="s">
        <v>137</v>
      </c>
      <c r="U2" s="6">
        <v>3</v>
      </c>
      <c r="V2" s="6" t="s">
        <v>130</v>
      </c>
      <c r="W2" s="6" t="s">
        <v>138</v>
      </c>
      <c r="X2" s="6" t="s">
        <v>32</v>
      </c>
      <c r="Y2" s="6" t="s">
        <v>139</v>
      </c>
      <c r="Z2" s="6" t="s">
        <v>32</v>
      </c>
      <c r="AA2" s="6" t="s">
        <v>140</v>
      </c>
      <c r="AB2" s="6" t="s">
        <v>32</v>
      </c>
      <c r="AC2" s="6" t="s">
        <v>141</v>
      </c>
      <c r="AD2" s="6" t="s">
        <v>32</v>
      </c>
      <c r="AE2" s="6" t="s">
        <v>142</v>
      </c>
    </row>
    <row r="3" spans="1:31" x14ac:dyDescent="0.25">
      <c r="A3" s="6">
        <v>2</v>
      </c>
      <c r="B3" s="6" t="s">
        <v>35</v>
      </c>
      <c r="C3" s="6">
        <v>1</v>
      </c>
      <c r="D3" s="6" t="s">
        <v>130</v>
      </c>
      <c r="E3" s="6" t="s">
        <v>131</v>
      </c>
      <c r="F3" s="6">
        <v>2</v>
      </c>
      <c r="G3" s="6" t="s">
        <v>132</v>
      </c>
      <c r="H3" s="6" t="s">
        <v>143</v>
      </c>
      <c r="I3" s="6">
        <v>2</v>
      </c>
      <c r="J3" s="6" t="s">
        <v>132</v>
      </c>
      <c r="K3" s="6" t="s">
        <v>144</v>
      </c>
      <c r="L3" s="6">
        <v>3</v>
      </c>
      <c r="M3" s="6" t="s">
        <v>132</v>
      </c>
      <c r="N3" s="6" t="s">
        <v>145</v>
      </c>
      <c r="O3" s="6">
        <v>2</v>
      </c>
      <c r="P3" s="6" t="s">
        <v>132</v>
      </c>
      <c r="Q3" s="6" t="s">
        <v>146</v>
      </c>
      <c r="R3" s="6">
        <v>3</v>
      </c>
      <c r="S3" s="6" t="s">
        <v>132</v>
      </c>
      <c r="T3" s="6" t="s">
        <v>147</v>
      </c>
      <c r="U3" s="6">
        <v>3</v>
      </c>
      <c r="V3" s="6" t="s">
        <v>130</v>
      </c>
      <c r="W3" s="6" t="s">
        <v>138</v>
      </c>
      <c r="X3" s="6" t="s">
        <v>32</v>
      </c>
      <c r="Y3" s="6" t="s">
        <v>148</v>
      </c>
      <c r="Z3" s="6" t="s">
        <v>32</v>
      </c>
      <c r="AA3" s="6" t="s">
        <v>149</v>
      </c>
      <c r="AB3" s="6" t="s">
        <v>32</v>
      </c>
      <c r="AC3" s="6" t="s">
        <v>150</v>
      </c>
      <c r="AD3" s="6" t="s">
        <v>32</v>
      </c>
      <c r="AE3" s="6" t="s">
        <v>149</v>
      </c>
    </row>
    <row r="4" spans="1:31" x14ac:dyDescent="0.25">
      <c r="A4" s="6">
        <v>3</v>
      </c>
      <c r="B4" s="6" t="s">
        <v>37</v>
      </c>
      <c r="C4" s="6">
        <v>1</v>
      </c>
      <c r="D4" s="6" t="s">
        <v>130</v>
      </c>
      <c r="E4" s="6" t="s">
        <v>131</v>
      </c>
      <c r="F4" s="6">
        <v>2</v>
      </c>
      <c r="G4" s="6" t="s">
        <v>132</v>
      </c>
      <c r="H4" s="6" t="s">
        <v>151</v>
      </c>
      <c r="I4" s="6">
        <v>2</v>
      </c>
      <c r="J4" s="6" t="s">
        <v>132</v>
      </c>
      <c r="K4" s="6" t="s">
        <v>152</v>
      </c>
      <c r="L4" s="6">
        <v>3</v>
      </c>
      <c r="M4" s="6" t="s">
        <v>132</v>
      </c>
      <c r="N4" s="6" t="s">
        <v>153</v>
      </c>
      <c r="O4" s="6">
        <v>2</v>
      </c>
      <c r="P4" s="6" t="s">
        <v>132</v>
      </c>
      <c r="Q4" s="6" t="s">
        <v>154</v>
      </c>
      <c r="R4" s="6">
        <v>3</v>
      </c>
      <c r="S4" s="6" t="s">
        <v>132</v>
      </c>
      <c r="T4" s="6" t="s">
        <v>155</v>
      </c>
      <c r="U4" s="6">
        <v>3</v>
      </c>
      <c r="V4" s="6" t="s">
        <v>130</v>
      </c>
      <c r="W4" s="6" t="s">
        <v>138</v>
      </c>
      <c r="X4" s="6" t="s">
        <v>32</v>
      </c>
      <c r="Y4" s="6" t="s">
        <v>156</v>
      </c>
      <c r="Z4" s="6" t="s">
        <v>32</v>
      </c>
      <c r="AA4" s="6" t="s">
        <v>156</v>
      </c>
      <c r="AB4" s="6" t="s">
        <v>32</v>
      </c>
      <c r="AC4" s="6" t="s">
        <v>156</v>
      </c>
      <c r="AD4" s="6" t="s">
        <v>32</v>
      </c>
      <c r="AE4" s="6" t="s">
        <v>156</v>
      </c>
    </row>
    <row r="5" spans="1:31" x14ac:dyDescent="0.25">
      <c r="A5" s="6">
        <v>4</v>
      </c>
      <c r="B5" s="6" t="s">
        <v>39</v>
      </c>
      <c r="C5" s="6">
        <v>1</v>
      </c>
      <c r="D5" s="6" t="s">
        <v>130</v>
      </c>
      <c r="E5" s="6" t="s">
        <v>131</v>
      </c>
      <c r="F5" s="6">
        <v>1</v>
      </c>
      <c r="G5" s="6" t="s">
        <v>132</v>
      </c>
      <c r="H5" s="6" t="s">
        <v>157</v>
      </c>
      <c r="I5" s="6">
        <v>2</v>
      </c>
      <c r="J5" s="6" t="s">
        <v>132</v>
      </c>
      <c r="K5" s="6" t="s">
        <v>158</v>
      </c>
      <c r="L5" s="6">
        <v>3</v>
      </c>
      <c r="M5" s="6" t="s">
        <v>132</v>
      </c>
      <c r="N5" s="6" t="s">
        <v>159</v>
      </c>
      <c r="O5" s="6">
        <v>3</v>
      </c>
      <c r="P5" s="6" t="s">
        <v>132</v>
      </c>
      <c r="Q5" s="6" t="s">
        <v>160</v>
      </c>
      <c r="R5" s="6">
        <v>3</v>
      </c>
      <c r="S5" s="6" t="s">
        <v>132</v>
      </c>
      <c r="T5" s="6" t="s">
        <v>161</v>
      </c>
      <c r="U5" s="6">
        <v>3</v>
      </c>
      <c r="V5" s="6" t="s">
        <v>130</v>
      </c>
      <c r="W5" s="6" t="s">
        <v>138</v>
      </c>
      <c r="X5" s="6" t="s">
        <v>32</v>
      </c>
      <c r="Y5" s="6" t="s">
        <v>162</v>
      </c>
      <c r="Z5" s="6" t="s">
        <v>32</v>
      </c>
      <c r="AA5" s="6" t="s">
        <v>162</v>
      </c>
      <c r="AB5" s="6" t="s">
        <v>32</v>
      </c>
      <c r="AC5" s="6" t="s">
        <v>163</v>
      </c>
      <c r="AD5" s="6" t="s">
        <v>32</v>
      </c>
      <c r="AE5" s="6" t="s">
        <v>162</v>
      </c>
    </row>
    <row r="6" spans="1:31" x14ac:dyDescent="0.25">
      <c r="A6" s="6">
        <v>5</v>
      </c>
      <c r="B6" s="6" t="s">
        <v>41</v>
      </c>
      <c r="C6" s="6">
        <v>1</v>
      </c>
      <c r="D6" s="6" t="s">
        <v>130</v>
      </c>
      <c r="E6" s="6" t="s">
        <v>131</v>
      </c>
      <c r="F6" s="6">
        <v>2</v>
      </c>
      <c r="G6" s="6" t="s">
        <v>132</v>
      </c>
      <c r="H6" s="6" t="s">
        <v>164</v>
      </c>
      <c r="I6" s="6">
        <v>2</v>
      </c>
      <c r="J6" s="6" t="s">
        <v>132</v>
      </c>
      <c r="K6" s="6" t="s">
        <v>165</v>
      </c>
      <c r="L6" s="6">
        <v>3</v>
      </c>
      <c r="M6" s="6" t="s">
        <v>132</v>
      </c>
      <c r="N6" s="6" t="s">
        <v>166</v>
      </c>
      <c r="O6" s="6">
        <v>2</v>
      </c>
      <c r="P6" s="6" t="s">
        <v>132</v>
      </c>
      <c r="Q6" s="6" t="s">
        <v>167</v>
      </c>
      <c r="R6" s="6">
        <v>3</v>
      </c>
      <c r="S6" s="6" t="s">
        <v>132</v>
      </c>
      <c r="T6" s="6" t="s">
        <v>168</v>
      </c>
      <c r="U6" s="6">
        <v>3</v>
      </c>
      <c r="V6" s="6" t="s">
        <v>130</v>
      </c>
      <c r="W6" s="6" t="s">
        <v>138</v>
      </c>
      <c r="X6" s="6" t="s">
        <v>32</v>
      </c>
      <c r="Y6" s="6" t="s">
        <v>169</v>
      </c>
      <c r="Z6" s="6" t="s">
        <v>32</v>
      </c>
      <c r="AA6" s="6" t="s">
        <v>169</v>
      </c>
      <c r="AB6" s="6" t="s">
        <v>32</v>
      </c>
      <c r="AC6" s="6" t="s">
        <v>169</v>
      </c>
      <c r="AD6" s="6" t="s">
        <v>32</v>
      </c>
      <c r="AE6" s="6" t="s">
        <v>169</v>
      </c>
    </row>
    <row r="7" spans="1:31" x14ac:dyDescent="0.25">
      <c r="A7" s="6">
        <v>6</v>
      </c>
      <c r="B7" s="6" t="s">
        <v>43</v>
      </c>
      <c r="C7" s="6">
        <v>1</v>
      </c>
      <c r="D7" s="6" t="s">
        <v>130</v>
      </c>
      <c r="E7" s="6" t="s">
        <v>131</v>
      </c>
      <c r="F7" s="6">
        <v>1</v>
      </c>
      <c r="G7" s="6" t="s">
        <v>132</v>
      </c>
      <c r="H7" s="6" t="s">
        <v>170</v>
      </c>
      <c r="I7" s="6">
        <v>2</v>
      </c>
      <c r="J7" s="6" t="s">
        <v>132</v>
      </c>
      <c r="K7" s="6" t="s">
        <v>171</v>
      </c>
      <c r="L7" s="6">
        <v>2</v>
      </c>
      <c r="M7" s="6" t="s">
        <v>132</v>
      </c>
      <c r="N7" s="6" t="s">
        <v>172</v>
      </c>
      <c r="O7" s="6">
        <v>2</v>
      </c>
      <c r="P7" s="6" t="s">
        <v>132</v>
      </c>
      <c r="Q7" s="6" t="s">
        <v>173</v>
      </c>
      <c r="R7" s="6">
        <v>2</v>
      </c>
      <c r="S7" s="6" t="s">
        <v>132</v>
      </c>
      <c r="T7" s="6" t="s">
        <v>174</v>
      </c>
      <c r="U7" s="6">
        <v>3</v>
      </c>
      <c r="V7" s="6" t="s">
        <v>130</v>
      </c>
      <c r="W7" s="6" t="s">
        <v>138</v>
      </c>
      <c r="X7" s="6" t="s">
        <v>32</v>
      </c>
      <c r="Y7" s="6" t="s">
        <v>175</v>
      </c>
      <c r="Z7" s="6" t="s">
        <v>32</v>
      </c>
      <c r="AA7" s="6" t="s">
        <v>175</v>
      </c>
      <c r="AB7" s="6" t="s">
        <v>32</v>
      </c>
      <c r="AC7" s="6" t="s">
        <v>176</v>
      </c>
      <c r="AD7" s="6" t="s">
        <v>32</v>
      </c>
      <c r="AE7" s="6" t="s">
        <v>44</v>
      </c>
    </row>
    <row r="8" spans="1:31" x14ac:dyDescent="0.25">
      <c r="A8" s="6">
        <v>7</v>
      </c>
      <c r="B8" s="6" t="s">
        <v>45</v>
      </c>
      <c r="C8" s="6">
        <v>1</v>
      </c>
      <c r="D8" s="6" t="s">
        <v>130</v>
      </c>
      <c r="E8" s="6" t="s">
        <v>131</v>
      </c>
      <c r="F8" s="6">
        <v>1</v>
      </c>
      <c r="G8" s="6" t="s">
        <v>132</v>
      </c>
      <c r="H8" s="6" t="s">
        <v>177</v>
      </c>
      <c r="I8" s="6">
        <v>2</v>
      </c>
      <c r="J8" s="6" t="s">
        <v>132</v>
      </c>
      <c r="K8" s="6" t="s">
        <v>178</v>
      </c>
      <c r="L8" s="6">
        <v>2</v>
      </c>
      <c r="M8" s="6" t="s">
        <v>132</v>
      </c>
      <c r="N8" s="6" t="s">
        <v>179</v>
      </c>
      <c r="O8" s="6">
        <v>2</v>
      </c>
      <c r="P8" s="6" t="s">
        <v>132</v>
      </c>
      <c r="Q8" s="6" t="s">
        <v>180</v>
      </c>
      <c r="R8" s="6">
        <v>2</v>
      </c>
      <c r="S8" s="6" t="s">
        <v>132</v>
      </c>
      <c r="T8" s="6" t="s">
        <v>181</v>
      </c>
      <c r="U8" s="6">
        <v>3</v>
      </c>
      <c r="V8" s="6" t="s">
        <v>130</v>
      </c>
      <c r="W8" s="6" t="s">
        <v>138</v>
      </c>
      <c r="X8" s="6" t="s">
        <v>32</v>
      </c>
      <c r="Y8" s="6" t="s">
        <v>182</v>
      </c>
      <c r="Z8" s="6" t="s">
        <v>32</v>
      </c>
      <c r="AA8" s="6" t="s">
        <v>182</v>
      </c>
      <c r="AB8" s="6" t="s">
        <v>32</v>
      </c>
      <c r="AC8" s="6" t="s">
        <v>183</v>
      </c>
      <c r="AD8" s="6" t="s">
        <v>32</v>
      </c>
      <c r="AE8" s="6" t="s">
        <v>184</v>
      </c>
    </row>
    <row r="9" spans="1:31" x14ac:dyDescent="0.25">
      <c r="A9" s="6">
        <v>8</v>
      </c>
      <c r="B9" s="6" t="s">
        <v>47</v>
      </c>
      <c r="C9" s="6">
        <v>1</v>
      </c>
      <c r="D9" s="6" t="s">
        <v>130</v>
      </c>
      <c r="E9" s="6" t="s">
        <v>131</v>
      </c>
      <c r="F9" s="6">
        <v>2</v>
      </c>
      <c r="G9" s="6" t="s">
        <v>132</v>
      </c>
      <c r="H9" s="6" t="s">
        <v>185</v>
      </c>
      <c r="I9" s="6">
        <v>2</v>
      </c>
      <c r="J9" s="6" t="s">
        <v>132</v>
      </c>
      <c r="K9" s="6" t="s">
        <v>186</v>
      </c>
      <c r="L9" s="6">
        <v>3</v>
      </c>
      <c r="M9" s="6" t="s">
        <v>132</v>
      </c>
      <c r="N9" s="6" t="s">
        <v>187</v>
      </c>
      <c r="O9" s="6">
        <v>2</v>
      </c>
      <c r="P9" s="6" t="s">
        <v>132</v>
      </c>
      <c r="Q9" s="6" t="s">
        <v>188</v>
      </c>
      <c r="R9" s="6">
        <v>3</v>
      </c>
      <c r="S9" s="6" t="s">
        <v>132</v>
      </c>
      <c r="T9" s="6" t="s">
        <v>189</v>
      </c>
      <c r="U9" s="6">
        <v>3</v>
      </c>
      <c r="V9" s="6" t="s">
        <v>130</v>
      </c>
      <c r="W9" s="6" t="s">
        <v>138</v>
      </c>
      <c r="X9" s="6" t="s">
        <v>48</v>
      </c>
      <c r="Y9" s="6" t="s">
        <v>190</v>
      </c>
      <c r="Z9" s="6" t="s">
        <v>32</v>
      </c>
      <c r="AA9" s="6" t="s">
        <v>191</v>
      </c>
      <c r="AB9" s="6" t="s">
        <v>32</v>
      </c>
      <c r="AC9" s="6" t="s">
        <v>192</v>
      </c>
      <c r="AD9" s="6" t="s">
        <v>32</v>
      </c>
      <c r="AE9" s="6" t="s">
        <v>193</v>
      </c>
    </row>
    <row r="10" spans="1:31" x14ac:dyDescent="0.25">
      <c r="A10" s="6">
        <v>9</v>
      </c>
      <c r="B10" s="6" t="s">
        <v>51</v>
      </c>
      <c r="C10" s="6">
        <v>1</v>
      </c>
      <c r="D10" s="6" t="s">
        <v>130</v>
      </c>
      <c r="E10" s="6" t="s">
        <v>131</v>
      </c>
      <c r="F10" s="6">
        <v>1</v>
      </c>
      <c r="G10" s="6" t="s">
        <v>132</v>
      </c>
      <c r="H10" s="6" t="s">
        <v>194</v>
      </c>
      <c r="I10" s="6">
        <v>2</v>
      </c>
      <c r="J10" s="6" t="s">
        <v>132</v>
      </c>
      <c r="K10" s="6" t="s">
        <v>195</v>
      </c>
      <c r="L10" s="6">
        <v>3</v>
      </c>
      <c r="M10" s="6" t="s">
        <v>132</v>
      </c>
      <c r="N10" s="6" t="s">
        <v>196</v>
      </c>
      <c r="O10" s="6">
        <v>2</v>
      </c>
      <c r="P10" s="6" t="s">
        <v>132</v>
      </c>
      <c r="Q10" s="6" t="s">
        <v>197</v>
      </c>
      <c r="R10" s="6">
        <v>3</v>
      </c>
      <c r="S10" s="6" t="s">
        <v>132</v>
      </c>
      <c r="T10" s="6" t="s">
        <v>198</v>
      </c>
      <c r="U10" s="6">
        <v>3</v>
      </c>
      <c r="V10" s="6" t="s">
        <v>130</v>
      </c>
      <c r="W10" s="6" t="s">
        <v>138</v>
      </c>
      <c r="X10" s="6" t="s">
        <v>48</v>
      </c>
      <c r="Y10" s="6" t="s">
        <v>199</v>
      </c>
      <c r="Z10" s="6" t="s">
        <v>32</v>
      </c>
      <c r="AA10" s="6" t="s">
        <v>200</v>
      </c>
      <c r="AB10" s="6" t="s">
        <v>32</v>
      </c>
      <c r="AC10" s="6" t="s">
        <v>200</v>
      </c>
      <c r="AD10" s="6" t="s">
        <v>32</v>
      </c>
      <c r="AE10" s="6" t="s">
        <v>200</v>
      </c>
    </row>
    <row r="11" spans="1:31" x14ac:dyDescent="0.25">
      <c r="A11" s="6">
        <v>10</v>
      </c>
      <c r="B11" s="6" t="s">
        <v>53</v>
      </c>
      <c r="C11" s="6">
        <v>1</v>
      </c>
      <c r="D11" s="6" t="s">
        <v>130</v>
      </c>
      <c r="E11" s="6" t="s">
        <v>131</v>
      </c>
      <c r="F11" s="6">
        <v>1</v>
      </c>
      <c r="G11" s="6" t="s">
        <v>132</v>
      </c>
      <c r="H11" s="6" t="s">
        <v>201</v>
      </c>
      <c r="I11" s="6">
        <v>2</v>
      </c>
      <c r="J11" s="6" t="s">
        <v>132</v>
      </c>
      <c r="K11" s="6" t="s">
        <v>202</v>
      </c>
      <c r="L11" s="6">
        <v>2</v>
      </c>
      <c r="M11" s="6" t="s">
        <v>132</v>
      </c>
      <c r="N11" s="6" t="s">
        <v>203</v>
      </c>
      <c r="O11" s="6">
        <v>2</v>
      </c>
      <c r="P11" s="6" t="s">
        <v>132</v>
      </c>
      <c r="Q11" s="6" t="s">
        <v>204</v>
      </c>
      <c r="R11" s="6">
        <v>3</v>
      </c>
      <c r="S11" s="6" t="s">
        <v>132</v>
      </c>
      <c r="T11" s="6" t="s">
        <v>205</v>
      </c>
      <c r="U11" s="6">
        <v>3</v>
      </c>
      <c r="V11" s="6" t="s">
        <v>130</v>
      </c>
      <c r="W11" s="6" t="s">
        <v>138</v>
      </c>
      <c r="X11" s="6" t="s">
        <v>48</v>
      </c>
      <c r="Y11" s="6" t="s">
        <v>206</v>
      </c>
      <c r="Z11" s="6" t="s">
        <v>32</v>
      </c>
      <c r="AA11" s="6" t="s">
        <v>207</v>
      </c>
      <c r="AB11" s="6" t="s">
        <v>32</v>
      </c>
      <c r="AC11" s="6" t="s">
        <v>208</v>
      </c>
      <c r="AD11" s="6" t="s">
        <v>32</v>
      </c>
      <c r="AE11" s="6" t="s">
        <v>209</v>
      </c>
    </row>
    <row r="12" spans="1:31" x14ac:dyDescent="0.25">
      <c r="A12" s="6">
        <v>11</v>
      </c>
      <c r="B12" s="6" t="s">
        <v>55</v>
      </c>
      <c r="C12" s="6">
        <v>1</v>
      </c>
      <c r="D12" s="6" t="s">
        <v>130</v>
      </c>
      <c r="E12" s="6" t="s">
        <v>131</v>
      </c>
      <c r="F12" s="6">
        <v>1</v>
      </c>
      <c r="G12" s="6" t="s">
        <v>132</v>
      </c>
      <c r="H12" s="6" t="s">
        <v>210</v>
      </c>
      <c r="I12" s="6">
        <v>2</v>
      </c>
      <c r="J12" s="6" t="s">
        <v>132</v>
      </c>
      <c r="K12" s="6" t="s">
        <v>211</v>
      </c>
      <c r="L12" s="6">
        <v>2</v>
      </c>
      <c r="M12" s="6" t="s">
        <v>132</v>
      </c>
      <c r="N12" s="6" t="s">
        <v>212</v>
      </c>
      <c r="O12" s="6">
        <v>2</v>
      </c>
      <c r="P12" s="6" t="s">
        <v>132</v>
      </c>
      <c r="Q12" s="6" t="s">
        <v>213</v>
      </c>
      <c r="R12" s="6">
        <v>3</v>
      </c>
      <c r="S12" s="6" t="s">
        <v>132</v>
      </c>
      <c r="T12" s="6" t="s">
        <v>214</v>
      </c>
      <c r="U12" s="6">
        <v>3</v>
      </c>
      <c r="V12" s="6" t="s">
        <v>130</v>
      </c>
      <c r="W12" s="6" t="s">
        <v>138</v>
      </c>
      <c r="X12" s="6" t="s">
        <v>48</v>
      </c>
      <c r="Y12" s="6" t="s">
        <v>215</v>
      </c>
      <c r="Z12" s="6" t="s">
        <v>32</v>
      </c>
      <c r="AA12" s="6" t="s">
        <v>216</v>
      </c>
      <c r="AB12" s="6" t="s">
        <v>32</v>
      </c>
      <c r="AC12" s="6" t="s">
        <v>217</v>
      </c>
      <c r="AD12" s="6" t="s">
        <v>32</v>
      </c>
      <c r="AE12" s="6" t="s">
        <v>218</v>
      </c>
    </row>
    <row r="13" spans="1:31" x14ac:dyDescent="0.25">
      <c r="A13" s="6">
        <v>12</v>
      </c>
      <c r="B13" s="6" t="s">
        <v>57</v>
      </c>
      <c r="C13" s="6">
        <v>1</v>
      </c>
      <c r="D13" s="6" t="s">
        <v>130</v>
      </c>
      <c r="E13" s="6" t="s">
        <v>131</v>
      </c>
      <c r="F13" s="6">
        <v>2</v>
      </c>
      <c r="G13" s="6" t="s">
        <v>132</v>
      </c>
      <c r="H13" s="6" t="s">
        <v>219</v>
      </c>
      <c r="I13" s="6">
        <v>2</v>
      </c>
      <c r="J13" s="6" t="s">
        <v>132</v>
      </c>
      <c r="K13" s="6" t="s">
        <v>220</v>
      </c>
      <c r="L13" s="6">
        <v>3</v>
      </c>
      <c r="M13" s="6" t="s">
        <v>132</v>
      </c>
      <c r="N13" s="6" t="s">
        <v>221</v>
      </c>
      <c r="O13" s="6">
        <v>2</v>
      </c>
      <c r="P13" s="6" t="s">
        <v>132</v>
      </c>
      <c r="Q13" s="6" t="s">
        <v>222</v>
      </c>
      <c r="R13" s="6" t="s">
        <v>48</v>
      </c>
      <c r="S13" s="6" t="s">
        <v>132</v>
      </c>
      <c r="T13" s="6" t="s">
        <v>223</v>
      </c>
      <c r="U13" s="6">
        <v>3</v>
      </c>
      <c r="V13" s="6" t="s">
        <v>130</v>
      </c>
      <c r="W13" s="6" t="s">
        <v>138</v>
      </c>
      <c r="X13" s="6" t="s">
        <v>32</v>
      </c>
      <c r="Y13" s="6" t="s">
        <v>224</v>
      </c>
      <c r="Z13" s="6" t="s">
        <v>32</v>
      </c>
      <c r="AA13" s="6" t="s">
        <v>225</v>
      </c>
      <c r="AB13" s="6" t="s">
        <v>32</v>
      </c>
      <c r="AC13" s="6" t="s">
        <v>225</v>
      </c>
      <c r="AD13" s="6" t="s">
        <v>32</v>
      </c>
      <c r="AE13" s="6" t="s">
        <v>226</v>
      </c>
    </row>
    <row r="14" spans="1:31" x14ac:dyDescent="0.25">
      <c r="A14" s="6">
        <v>13</v>
      </c>
      <c r="B14" s="6" t="s">
        <v>59</v>
      </c>
      <c r="C14" s="6">
        <v>1</v>
      </c>
      <c r="D14" s="6" t="s">
        <v>130</v>
      </c>
      <c r="E14" s="6" t="s">
        <v>131</v>
      </c>
      <c r="F14" s="6">
        <v>1</v>
      </c>
      <c r="G14" s="6" t="s">
        <v>132</v>
      </c>
      <c r="H14" s="6" t="s">
        <v>227</v>
      </c>
      <c r="I14" s="6">
        <v>1</v>
      </c>
      <c r="J14" s="6" t="s">
        <v>132</v>
      </c>
      <c r="K14" s="6" t="s">
        <v>228</v>
      </c>
      <c r="L14" s="6">
        <v>2</v>
      </c>
      <c r="M14" s="6" t="s">
        <v>132</v>
      </c>
      <c r="N14" s="6" t="s">
        <v>229</v>
      </c>
      <c r="O14" s="6">
        <v>2</v>
      </c>
      <c r="P14" s="6" t="s">
        <v>132</v>
      </c>
      <c r="Q14" s="6" t="s">
        <v>230</v>
      </c>
      <c r="R14" s="6">
        <v>3</v>
      </c>
      <c r="S14" s="6" t="s">
        <v>132</v>
      </c>
      <c r="T14" s="6" t="s">
        <v>231</v>
      </c>
      <c r="U14" s="6">
        <v>3</v>
      </c>
      <c r="V14" s="6" t="s">
        <v>130</v>
      </c>
      <c r="W14" s="6" t="s">
        <v>138</v>
      </c>
      <c r="X14" s="6" t="s">
        <v>48</v>
      </c>
      <c r="Y14" s="6" t="s">
        <v>232</v>
      </c>
      <c r="Z14" s="6" t="s">
        <v>32</v>
      </c>
      <c r="AA14" s="6" t="s">
        <v>233</v>
      </c>
      <c r="AB14" s="6" t="s">
        <v>32</v>
      </c>
      <c r="AC14" s="6" t="s">
        <v>234</v>
      </c>
      <c r="AD14" s="6" t="s">
        <v>32</v>
      </c>
      <c r="AE14" s="6" t="s">
        <v>235</v>
      </c>
    </row>
    <row r="15" spans="1:31" x14ac:dyDescent="0.25">
      <c r="A15" s="6">
        <v>14</v>
      </c>
      <c r="B15" s="6" t="s">
        <v>61</v>
      </c>
      <c r="C15" s="6">
        <v>1</v>
      </c>
      <c r="D15" s="6" t="s">
        <v>130</v>
      </c>
      <c r="E15" s="6" t="s">
        <v>131</v>
      </c>
      <c r="F15" s="6">
        <v>2</v>
      </c>
      <c r="G15" s="6" t="s">
        <v>132</v>
      </c>
      <c r="H15" s="6" t="s">
        <v>236</v>
      </c>
      <c r="I15" s="6">
        <v>1</v>
      </c>
      <c r="J15" s="6" t="s">
        <v>132</v>
      </c>
      <c r="K15" s="6" t="s">
        <v>237</v>
      </c>
      <c r="L15" s="6">
        <v>1</v>
      </c>
      <c r="M15" s="6" t="s">
        <v>132</v>
      </c>
      <c r="N15" s="6" t="s">
        <v>238</v>
      </c>
      <c r="O15" s="6">
        <v>2</v>
      </c>
      <c r="P15" s="6" t="s">
        <v>132</v>
      </c>
      <c r="Q15" s="6" t="s">
        <v>239</v>
      </c>
      <c r="R15" s="6">
        <v>2</v>
      </c>
      <c r="S15" s="6" t="s">
        <v>132</v>
      </c>
      <c r="T15" s="6" t="s">
        <v>240</v>
      </c>
      <c r="U15" s="6">
        <v>3</v>
      </c>
      <c r="V15" s="6" t="s">
        <v>130</v>
      </c>
      <c r="W15" s="6" t="s">
        <v>138</v>
      </c>
      <c r="X15" s="6" t="s">
        <v>48</v>
      </c>
      <c r="Y15" s="6" t="s">
        <v>241</v>
      </c>
      <c r="Z15" s="6" t="s">
        <v>32</v>
      </c>
      <c r="AA15" s="6" t="s">
        <v>242</v>
      </c>
      <c r="AB15" s="6" t="s">
        <v>32</v>
      </c>
      <c r="AC15" s="6" t="s">
        <v>243</v>
      </c>
      <c r="AD15" s="6" t="s">
        <v>32</v>
      </c>
      <c r="AE15" s="6" t="s">
        <v>244</v>
      </c>
    </row>
    <row r="16" spans="1:31" x14ac:dyDescent="0.25">
      <c r="A16" s="6">
        <v>15</v>
      </c>
      <c r="B16" s="6" t="s">
        <v>63</v>
      </c>
      <c r="C16" s="6">
        <v>1</v>
      </c>
      <c r="D16" s="6" t="s">
        <v>130</v>
      </c>
      <c r="E16" s="6" t="s">
        <v>131</v>
      </c>
      <c r="F16" s="6">
        <v>1</v>
      </c>
      <c r="G16" s="6" t="s">
        <v>132</v>
      </c>
      <c r="H16" s="6" t="s">
        <v>245</v>
      </c>
      <c r="I16" s="6">
        <v>1</v>
      </c>
      <c r="J16" s="6" t="s">
        <v>132</v>
      </c>
      <c r="K16" s="6" t="s">
        <v>246</v>
      </c>
      <c r="L16" s="6">
        <v>2</v>
      </c>
      <c r="M16" s="6" t="s">
        <v>132</v>
      </c>
      <c r="N16" s="6" t="s">
        <v>247</v>
      </c>
      <c r="O16" s="6">
        <v>2</v>
      </c>
      <c r="P16" s="6" t="s">
        <v>132</v>
      </c>
      <c r="Q16" s="6" t="s">
        <v>248</v>
      </c>
      <c r="R16" s="6">
        <v>2</v>
      </c>
      <c r="S16" s="6" t="s">
        <v>132</v>
      </c>
      <c r="T16" s="6" t="s">
        <v>249</v>
      </c>
      <c r="U16" s="6">
        <v>3</v>
      </c>
      <c r="V16" s="6" t="s">
        <v>130</v>
      </c>
      <c r="W16" s="6" t="s">
        <v>138</v>
      </c>
      <c r="X16" s="6" t="s">
        <v>48</v>
      </c>
      <c r="Y16" s="6" t="s">
        <v>250</v>
      </c>
      <c r="Z16" s="6" t="s">
        <v>32</v>
      </c>
      <c r="AA16" s="6" t="s">
        <v>251</v>
      </c>
      <c r="AB16" s="6" t="s">
        <v>32</v>
      </c>
      <c r="AC16" s="6" t="s">
        <v>251</v>
      </c>
      <c r="AD16" s="6" t="s">
        <v>32</v>
      </c>
      <c r="AE16" s="6" t="s">
        <v>251</v>
      </c>
    </row>
    <row r="17" spans="1:31" x14ac:dyDescent="0.25">
      <c r="A17" s="6">
        <v>16</v>
      </c>
      <c r="B17" s="6" t="s">
        <v>66</v>
      </c>
      <c r="C17" s="6">
        <v>3</v>
      </c>
      <c r="D17" s="6" t="s">
        <v>130</v>
      </c>
      <c r="E17" s="6" t="s">
        <v>252</v>
      </c>
      <c r="F17" s="6">
        <v>3</v>
      </c>
      <c r="G17" s="6" t="s">
        <v>253</v>
      </c>
      <c r="H17" s="6" t="s">
        <v>254</v>
      </c>
      <c r="I17" s="6">
        <v>3</v>
      </c>
      <c r="J17" s="6" t="s">
        <v>253</v>
      </c>
      <c r="K17" s="6" t="s">
        <v>255</v>
      </c>
      <c r="L17" s="6">
        <v>3</v>
      </c>
      <c r="M17" s="6" t="s">
        <v>253</v>
      </c>
      <c r="N17" s="6" t="s">
        <v>256</v>
      </c>
      <c r="O17" s="6">
        <v>3</v>
      </c>
      <c r="P17" s="6" t="s">
        <v>253</v>
      </c>
      <c r="Q17" s="6" t="s">
        <v>257</v>
      </c>
      <c r="R17" s="6">
        <v>2</v>
      </c>
      <c r="S17" s="6" t="s">
        <v>253</v>
      </c>
      <c r="T17" s="6" t="s">
        <v>258</v>
      </c>
      <c r="U17" s="6">
        <v>2</v>
      </c>
      <c r="V17" s="6" t="s">
        <v>130</v>
      </c>
      <c r="W17" s="6" t="s">
        <v>259</v>
      </c>
      <c r="X17" s="6" t="s">
        <v>32</v>
      </c>
      <c r="Y17" s="6" t="s">
        <v>260</v>
      </c>
      <c r="Z17" s="6" t="s">
        <v>32</v>
      </c>
      <c r="AA17" s="6" t="s">
        <v>261</v>
      </c>
      <c r="AB17" s="6" t="s">
        <v>32</v>
      </c>
      <c r="AC17" s="6" t="s">
        <v>262</v>
      </c>
      <c r="AD17" s="6" t="s">
        <v>32</v>
      </c>
      <c r="AE17" s="6" t="s">
        <v>263</v>
      </c>
    </row>
    <row r="18" spans="1:31" x14ac:dyDescent="0.25">
      <c r="A18" s="6">
        <v>17</v>
      </c>
      <c r="B18" s="6" t="s">
        <v>68</v>
      </c>
      <c r="C18" s="6">
        <v>2</v>
      </c>
      <c r="D18" s="6" t="s">
        <v>130</v>
      </c>
      <c r="E18" s="6" t="s">
        <v>264</v>
      </c>
      <c r="F18" s="6">
        <v>3</v>
      </c>
      <c r="G18" s="6" t="s">
        <v>253</v>
      </c>
      <c r="H18" s="6" t="s">
        <v>265</v>
      </c>
      <c r="I18" s="6">
        <v>2</v>
      </c>
      <c r="J18" s="6" t="s">
        <v>253</v>
      </c>
      <c r="K18" s="6" t="s">
        <v>266</v>
      </c>
      <c r="L18" s="6">
        <v>3</v>
      </c>
      <c r="M18" s="6" t="s">
        <v>253</v>
      </c>
      <c r="N18" s="6" t="s">
        <v>267</v>
      </c>
      <c r="O18" s="6">
        <v>2</v>
      </c>
      <c r="P18" s="6" t="s">
        <v>253</v>
      </c>
      <c r="Q18" s="6" t="s">
        <v>268</v>
      </c>
      <c r="R18" s="6">
        <v>2</v>
      </c>
      <c r="S18" s="6" t="s">
        <v>253</v>
      </c>
      <c r="T18" s="6" t="s">
        <v>269</v>
      </c>
      <c r="U18" s="6">
        <v>2</v>
      </c>
      <c r="V18" s="6" t="s">
        <v>130</v>
      </c>
      <c r="W18" s="6" t="s">
        <v>259</v>
      </c>
      <c r="X18" s="6" t="s">
        <v>32</v>
      </c>
      <c r="Y18" s="6" t="s">
        <v>270</v>
      </c>
      <c r="Z18" s="6" t="s">
        <v>32</v>
      </c>
      <c r="AA18" s="6" t="s">
        <v>271</v>
      </c>
      <c r="AB18" s="6" t="s">
        <v>32</v>
      </c>
      <c r="AC18" s="6" t="s">
        <v>272</v>
      </c>
      <c r="AD18" s="6" t="s">
        <v>32</v>
      </c>
      <c r="AE18" s="6" t="s">
        <v>270</v>
      </c>
    </row>
    <row r="19" spans="1:31" x14ac:dyDescent="0.25">
      <c r="A19" s="6">
        <v>18</v>
      </c>
      <c r="B19" s="6" t="s">
        <v>70</v>
      </c>
      <c r="C19" s="6">
        <v>2</v>
      </c>
      <c r="D19" s="6" t="s">
        <v>130</v>
      </c>
      <c r="E19" s="6" t="s">
        <v>273</v>
      </c>
      <c r="F19" s="6">
        <v>2</v>
      </c>
      <c r="G19" s="6" t="s">
        <v>253</v>
      </c>
      <c r="H19" s="6" t="s">
        <v>274</v>
      </c>
      <c r="I19" s="6">
        <v>2</v>
      </c>
      <c r="J19" s="6" t="s">
        <v>253</v>
      </c>
      <c r="K19" s="6" t="s">
        <v>275</v>
      </c>
      <c r="L19" s="6">
        <v>3</v>
      </c>
      <c r="M19" s="6" t="s">
        <v>253</v>
      </c>
      <c r="N19" s="6" t="s">
        <v>276</v>
      </c>
      <c r="O19" s="6">
        <v>3</v>
      </c>
      <c r="P19" s="6" t="s">
        <v>253</v>
      </c>
      <c r="Q19" s="6" t="s">
        <v>277</v>
      </c>
      <c r="R19" s="6">
        <v>2</v>
      </c>
      <c r="S19" s="6" t="s">
        <v>253</v>
      </c>
      <c r="T19" s="6" t="s">
        <v>278</v>
      </c>
      <c r="U19" s="6">
        <v>2</v>
      </c>
      <c r="V19" s="6" t="s">
        <v>130</v>
      </c>
      <c r="W19" s="6" t="s">
        <v>259</v>
      </c>
      <c r="X19" s="6" t="s">
        <v>32</v>
      </c>
      <c r="Y19" s="6" t="s">
        <v>279</v>
      </c>
      <c r="Z19" s="6" t="s">
        <v>32</v>
      </c>
      <c r="AA19" s="6" t="s">
        <v>280</v>
      </c>
      <c r="AB19" s="6" t="s">
        <v>32</v>
      </c>
      <c r="AC19" s="6" t="s">
        <v>281</v>
      </c>
      <c r="AD19" s="6" t="s">
        <v>32</v>
      </c>
      <c r="AE19" s="6" t="s">
        <v>279</v>
      </c>
    </row>
    <row r="20" spans="1:31" x14ac:dyDescent="0.25">
      <c r="A20" s="6">
        <v>19</v>
      </c>
      <c r="B20" s="6" t="s">
        <v>72</v>
      </c>
      <c r="C20" s="6">
        <v>1</v>
      </c>
      <c r="D20" s="6" t="s">
        <v>130</v>
      </c>
      <c r="E20" s="6" t="s">
        <v>282</v>
      </c>
      <c r="F20" s="6">
        <v>2</v>
      </c>
      <c r="G20" s="6" t="s">
        <v>253</v>
      </c>
      <c r="H20" s="6" t="s">
        <v>283</v>
      </c>
      <c r="I20" s="6">
        <v>2</v>
      </c>
      <c r="J20" s="6" t="s">
        <v>253</v>
      </c>
      <c r="K20" s="6" t="s">
        <v>284</v>
      </c>
      <c r="L20" s="6">
        <v>3</v>
      </c>
      <c r="M20" s="6" t="s">
        <v>253</v>
      </c>
      <c r="N20" s="6" t="s">
        <v>285</v>
      </c>
      <c r="O20" s="6">
        <v>3</v>
      </c>
      <c r="P20" s="6" t="s">
        <v>253</v>
      </c>
      <c r="Q20" s="6" t="s">
        <v>286</v>
      </c>
      <c r="R20" s="6">
        <v>2</v>
      </c>
      <c r="S20" s="6" t="s">
        <v>253</v>
      </c>
      <c r="T20" s="6" t="s">
        <v>287</v>
      </c>
      <c r="U20" s="6">
        <v>2</v>
      </c>
      <c r="V20" s="6" t="s">
        <v>130</v>
      </c>
      <c r="W20" s="6" t="s">
        <v>259</v>
      </c>
      <c r="X20" s="6" t="s">
        <v>32</v>
      </c>
      <c r="Y20" s="6" t="s">
        <v>288</v>
      </c>
      <c r="Z20" s="6" t="s">
        <v>32</v>
      </c>
      <c r="AA20" s="6" t="s">
        <v>289</v>
      </c>
      <c r="AB20" s="6" t="s">
        <v>32</v>
      </c>
      <c r="AC20" s="6" t="s">
        <v>290</v>
      </c>
      <c r="AD20" s="6" t="s">
        <v>32</v>
      </c>
      <c r="AE20" s="6" t="s">
        <v>291</v>
      </c>
    </row>
    <row r="21" spans="1:31" x14ac:dyDescent="0.25">
      <c r="A21" s="6">
        <v>20</v>
      </c>
      <c r="B21" s="6" t="s">
        <v>74</v>
      </c>
      <c r="C21" s="6">
        <v>1</v>
      </c>
      <c r="D21" s="6" t="s">
        <v>130</v>
      </c>
      <c r="E21" s="6" t="s">
        <v>292</v>
      </c>
      <c r="F21" s="6">
        <v>2</v>
      </c>
      <c r="G21" s="6" t="s">
        <v>253</v>
      </c>
      <c r="H21" s="6" t="s">
        <v>293</v>
      </c>
      <c r="I21" s="6">
        <v>3</v>
      </c>
      <c r="J21" s="6" t="s">
        <v>253</v>
      </c>
      <c r="K21" s="6" t="s">
        <v>294</v>
      </c>
      <c r="L21" s="6">
        <v>3</v>
      </c>
      <c r="M21" s="6" t="s">
        <v>253</v>
      </c>
      <c r="N21" s="6" t="s">
        <v>295</v>
      </c>
      <c r="O21" s="6">
        <v>2</v>
      </c>
      <c r="P21" s="6" t="s">
        <v>253</v>
      </c>
      <c r="Q21" s="6" t="s">
        <v>296</v>
      </c>
      <c r="R21" s="6">
        <v>2</v>
      </c>
      <c r="S21" s="6" t="s">
        <v>253</v>
      </c>
      <c r="T21" s="6" t="s">
        <v>297</v>
      </c>
      <c r="U21" s="6">
        <v>2</v>
      </c>
      <c r="V21" s="6" t="s">
        <v>130</v>
      </c>
      <c r="W21" s="6" t="s">
        <v>259</v>
      </c>
      <c r="X21" s="6" t="s">
        <v>32</v>
      </c>
      <c r="Y21" s="6" t="s">
        <v>298</v>
      </c>
      <c r="Z21" s="6" t="s">
        <v>32</v>
      </c>
      <c r="AA21" s="6" t="s">
        <v>299</v>
      </c>
      <c r="AB21" s="6" t="s">
        <v>32</v>
      </c>
      <c r="AC21" s="6" t="s">
        <v>300</v>
      </c>
      <c r="AD21" s="6" t="s">
        <v>32</v>
      </c>
      <c r="AE21" s="6" t="s">
        <v>298</v>
      </c>
    </row>
    <row r="22" spans="1:31" x14ac:dyDescent="0.25">
      <c r="A22" s="6">
        <v>21</v>
      </c>
      <c r="B22" s="6" t="s">
        <v>76</v>
      </c>
      <c r="C22" s="6">
        <v>1</v>
      </c>
      <c r="D22" s="6" t="s">
        <v>130</v>
      </c>
      <c r="E22" s="6" t="s">
        <v>301</v>
      </c>
      <c r="F22" s="6">
        <v>2</v>
      </c>
      <c r="G22" s="6" t="s">
        <v>253</v>
      </c>
      <c r="H22" s="6" t="s">
        <v>302</v>
      </c>
      <c r="I22" s="6">
        <v>2</v>
      </c>
      <c r="J22" s="6" t="s">
        <v>253</v>
      </c>
      <c r="K22" s="6" t="s">
        <v>303</v>
      </c>
      <c r="L22" s="6">
        <v>2</v>
      </c>
      <c r="M22" s="6" t="s">
        <v>253</v>
      </c>
      <c r="N22" s="6" t="s">
        <v>304</v>
      </c>
      <c r="O22" s="6">
        <v>3</v>
      </c>
      <c r="P22" s="6" t="s">
        <v>253</v>
      </c>
      <c r="Q22" s="6" t="s">
        <v>305</v>
      </c>
      <c r="R22" s="6">
        <v>2</v>
      </c>
      <c r="S22" s="6" t="s">
        <v>253</v>
      </c>
      <c r="T22" s="6" t="s">
        <v>306</v>
      </c>
      <c r="U22" s="6">
        <v>2</v>
      </c>
      <c r="V22" s="6" t="s">
        <v>130</v>
      </c>
      <c r="W22" s="6" t="s">
        <v>259</v>
      </c>
      <c r="X22" s="6" t="s">
        <v>32</v>
      </c>
      <c r="Y22" s="6" t="s">
        <v>307</v>
      </c>
      <c r="Z22" s="6" t="s">
        <v>32</v>
      </c>
      <c r="AA22" s="6" t="s">
        <v>308</v>
      </c>
      <c r="AB22" s="6" t="s">
        <v>32</v>
      </c>
      <c r="AC22" s="6" t="s">
        <v>309</v>
      </c>
      <c r="AD22" s="6" t="s">
        <v>32</v>
      </c>
      <c r="AE22" s="6" t="s">
        <v>310</v>
      </c>
    </row>
    <row r="23" spans="1:31" x14ac:dyDescent="0.25">
      <c r="A23" s="6">
        <v>22</v>
      </c>
      <c r="B23" s="6" t="s">
        <v>78</v>
      </c>
      <c r="C23" s="6">
        <v>1</v>
      </c>
      <c r="D23" s="6" t="s">
        <v>130</v>
      </c>
      <c r="E23" s="6" t="s">
        <v>301</v>
      </c>
      <c r="F23" s="6">
        <v>1</v>
      </c>
      <c r="G23" s="6" t="s">
        <v>253</v>
      </c>
      <c r="H23" s="6" t="s">
        <v>311</v>
      </c>
      <c r="I23" s="6">
        <v>3</v>
      </c>
      <c r="J23" s="6" t="s">
        <v>253</v>
      </c>
      <c r="K23" s="6" t="s">
        <v>312</v>
      </c>
      <c r="L23" s="6">
        <v>3</v>
      </c>
      <c r="M23" s="6" t="s">
        <v>253</v>
      </c>
      <c r="N23" s="6" t="s">
        <v>313</v>
      </c>
      <c r="O23" s="6">
        <v>2</v>
      </c>
      <c r="P23" s="6" t="s">
        <v>253</v>
      </c>
      <c r="Q23" s="6" t="s">
        <v>314</v>
      </c>
      <c r="R23" s="6">
        <v>2</v>
      </c>
      <c r="S23" s="6" t="s">
        <v>253</v>
      </c>
      <c r="T23" s="6" t="s">
        <v>315</v>
      </c>
      <c r="U23" s="6">
        <v>2</v>
      </c>
      <c r="V23" s="6" t="s">
        <v>130</v>
      </c>
      <c r="W23" s="6" t="s">
        <v>259</v>
      </c>
      <c r="X23" s="6" t="s">
        <v>32</v>
      </c>
      <c r="Y23" s="6" t="s">
        <v>316</v>
      </c>
      <c r="Z23" s="6" t="s">
        <v>32</v>
      </c>
      <c r="AA23" s="6" t="s">
        <v>317</v>
      </c>
      <c r="AB23" s="6" t="s">
        <v>32</v>
      </c>
      <c r="AC23" s="6" t="s">
        <v>318</v>
      </c>
      <c r="AD23" s="6" t="s">
        <v>32</v>
      </c>
      <c r="AE23" s="6" t="s">
        <v>319</v>
      </c>
    </row>
    <row r="24" spans="1:31" x14ac:dyDescent="0.25">
      <c r="A24" s="6">
        <v>23</v>
      </c>
      <c r="B24" s="6" t="s">
        <v>80</v>
      </c>
      <c r="C24" s="6">
        <v>1</v>
      </c>
      <c r="D24" s="6" t="s">
        <v>130</v>
      </c>
      <c r="E24" s="6" t="s">
        <v>131</v>
      </c>
      <c r="F24" s="6">
        <v>1</v>
      </c>
      <c r="G24" s="6" t="s">
        <v>253</v>
      </c>
      <c r="H24" s="6" t="s">
        <v>320</v>
      </c>
      <c r="I24" s="6">
        <v>3</v>
      </c>
      <c r="J24" s="6" t="s">
        <v>253</v>
      </c>
      <c r="K24" s="6" t="s">
        <v>321</v>
      </c>
      <c r="L24" s="6">
        <v>3</v>
      </c>
      <c r="M24" s="6" t="s">
        <v>253</v>
      </c>
      <c r="N24" s="6" t="s">
        <v>322</v>
      </c>
      <c r="O24" s="6">
        <v>2</v>
      </c>
      <c r="P24" s="6" t="s">
        <v>253</v>
      </c>
      <c r="Q24" s="6" t="s">
        <v>323</v>
      </c>
      <c r="R24" s="6">
        <v>2</v>
      </c>
      <c r="S24" s="6" t="s">
        <v>253</v>
      </c>
      <c r="T24" s="6" t="s">
        <v>324</v>
      </c>
      <c r="U24" s="6">
        <v>2</v>
      </c>
      <c r="V24" s="6" t="s">
        <v>130</v>
      </c>
      <c r="W24" s="6" t="s">
        <v>259</v>
      </c>
      <c r="X24" s="6" t="s">
        <v>32</v>
      </c>
      <c r="Y24" s="6" t="s">
        <v>325</v>
      </c>
      <c r="Z24" s="6" t="s">
        <v>32</v>
      </c>
      <c r="AA24" s="6" t="s">
        <v>326</v>
      </c>
      <c r="AB24" s="6" t="s">
        <v>32</v>
      </c>
      <c r="AC24" s="6" t="s">
        <v>327</v>
      </c>
      <c r="AD24" s="6" t="s">
        <v>32</v>
      </c>
      <c r="AE24" s="6" t="s">
        <v>328</v>
      </c>
    </row>
    <row r="25" spans="1:31" x14ac:dyDescent="0.25">
      <c r="A25" s="6">
        <v>24</v>
      </c>
      <c r="B25" s="6" t="s">
        <v>82</v>
      </c>
      <c r="C25" s="6">
        <v>2</v>
      </c>
      <c r="D25" s="6" t="s">
        <v>130</v>
      </c>
      <c r="E25" s="6" t="s">
        <v>329</v>
      </c>
      <c r="F25" s="6">
        <v>2</v>
      </c>
      <c r="G25" s="6" t="s">
        <v>253</v>
      </c>
      <c r="H25" s="6" t="s">
        <v>330</v>
      </c>
      <c r="I25" s="6">
        <v>2</v>
      </c>
      <c r="J25" s="6" t="s">
        <v>253</v>
      </c>
      <c r="K25" s="6" t="s">
        <v>331</v>
      </c>
      <c r="L25" s="6">
        <v>2</v>
      </c>
      <c r="M25" s="6" t="s">
        <v>253</v>
      </c>
      <c r="N25" s="6" t="s">
        <v>332</v>
      </c>
      <c r="O25" s="6">
        <v>2</v>
      </c>
      <c r="P25" s="6" t="s">
        <v>253</v>
      </c>
      <c r="Q25" s="6" t="s">
        <v>333</v>
      </c>
      <c r="R25" s="6">
        <v>2</v>
      </c>
      <c r="S25" s="6" t="s">
        <v>253</v>
      </c>
      <c r="T25" s="6" t="s">
        <v>334</v>
      </c>
      <c r="U25" s="6">
        <v>2</v>
      </c>
      <c r="V25" s="6" t="s">
        <v>130</v>
      </c>
      <c r="W25" s="6" t="s">
        <v>259</v>
      </c>
      <c r="X25" s="6" t="s">
        <v>32</v>
      </c>
      <c r="Y25" s="6" t="s">
        <v>335</v>
      </c>
      <c r="Z25" s="6" t="s">
        <v>32</v>
      </c>
      <c r="AA25" s="6" t="s">
        <v>336</v>
      </c>
      <c r="AB25" s="6" t="s">
        <v>32</v>
      </c>
      <c r="AC25" s="6" t="s">
        <v>337</v>
      </c>
      <c r="AD25" s="6" t="s">
        <v>32</v>
      </c>
      <c r="AE25" s="6" t="s">
        <v>338</v>
      </c>
    </row>
    <row r="26" spans="1:31" x14ac:dyDescent="0.25">
      <c r="A26" s="6">
        <v>25</v>
      </c>
      <c r="B26" s="6" t="s">
        <v>84</v>
      </c>
      <c r="C26" s="6">
        <v>1</v>
      </c>
      <c r="D26" s="6" t="s">
        <v>130</v>
      </c>
      <c r="E26" s="6" t="s">
        <v>131</v>
      </c>
      <c r="F26" s="6">
        <v>2</v>
      </c>
      <c r="G26" s="6" t="s">
        <v>253</v>
      </c>
      <c r="H26" s="6" t="s">
        <v>339</v>
      </c>
      <c r="I26" s="6">
        <v>2</v>
      </c>
      <c r="J26" s="6" t="s">
        <v>253</v>
      </c>
      <c r="K26" s="6" t="s">
        <v>340</v>
      </c>
      <c r="L26" s="6">
        <v>3</v>
      </c>
      <c r="M26" s="6" t="s">
        <v>253</v>
      </c>
      <c r="N26" s="6" t="s">
        <v>341</v>
      </c>
      <c r="O26" s="6">
        <v>2</v>
      </c>
      <c r="P26" s="6" t="s">
        <v>253</v>
      </c>
      <c r="Q26" s="6" t="s">
        <v>342</v>
      </c>
      <c r="R26" s="6">
        <v>1</v>
      </c>
      <c r="S26" s="6" t="s">
        <v>253</v>
      </c>
      <c r="T26" s="6" t="s">
        <v>343</v>
      </c>
      <c r="U26" s="6">
        <v>2</v>
      </c>
      <c r="V26" s="6" t="s">
        <v>130</v>
      </c>
      <c r="W26" s="6" t="s">
        <v>259</v>
      </c>
      <c r="X26" s="6" t="s">
        <v>32</v>
      </c>
      <c r="Y26" s="6" t="s">
        <v>344</v>
      </c>
      <c r="Z26" s="6" t="s">
        <v>32</v>
      </c>
      <c r="AA26" s="6" t="s">
        <v>345</v>
      </c>
      <c r="AB26" s="6" t="s">
        <v>32</v>
      </c>
      <c r="AC26" s="6" t="s">
        <v>346</v>
      </c>
      <c r="AD26" s="6" t="s">
        <v>32</v>
      </c>
      <c r="AE26" s="6" t="s">
        <v>347</v>
      </c>
    </row>
    <row r="27" spans="1:31" x14ac:dyDescent="0.25">
      <c r="A27" s="6">
        <v>26</v>
      </c>
      <c r="B27" s="6" t="s">
        <v>86</v>
      </c>
      <c r="C27" s="6">
        <v>1</v>
      </c>
      <c r="D27" s="6" t="s">
        <v>130</v>
      </c>
      <c r="E27" s="6" t="s">
        <v>131</v>
      </c>
      <c r="F27" s="6">
        <v>1</v>
      </c>
      <c r="G27" s="6" t="s">
        <v>253</v>
      </c>
      <c r="H27" s="6" t="s">
        <v>348</v>
      </c>
      <c r="I27" s="6">
        <v>2</v>
      </c>
      <c r="J27" s="6" t="s">
        <v>253</v>
      </c>
      <c r="K27" s="6" t="s">
        <v>349</v>
      </c>
      <c r="L27" s="6">
        <v>2</v>
      </c>
      <c r="M27" s="6" t="s">
        <v>253</v>
      </c>
      <c r="N27" s="6" t="s">
        <v>350</v>
      </c>
      <c r="O27" s="6">
        <v>3</v>
      </c>
      <c r="P27" s="6" t="s">
        <v>253</v>
      </c>
      <c r="Q27" s="6" t="s">
        <v>351</v>
      </c>
      <c r="R27" s="6">
        <v>2</v>
      </c>
      <c r="S27" s="6" t="s">
        <v>253</v>
      </c>
      <c r="T27" s="6" t="s">
        <v>352</v>
      </c>
      <c r="U27" s="6">
        <v>2</v>
      </c>
      <c r="V27" s="6" t="s">
        <v>130</v>
      </c>
      <c r="W27" s="6" t="s">
        <v>259</v>
      </c>
      <c r="X27" s="6" t="s">
        <v>32</v>
      </c>
      <c r="Y27" s="6" t="s">
        <v>353</v>
      </c>
      <c r="Z27" s="6" t="s">
        <v>32</v>
      </c>
      <c r="AA27" s="6" t="s">
        <v>354</v>
      </c>
      <c r="AB27" s="6" t="s">
        <v>32</v>
      </c>
      <c r="AC27" s="6" t="s">
        <v>355</v>
      </c>
      <c r="AD27" s="6" t="s">
        <v>32</v>
      </c>
      <c r="AE27" s="6" t="s">
        <v>355</v>
      </c>
    </row>
    <row r="28" spans="1:31" x14ac:dyDescent="0.25">
      <c r="A28" s="6">
        <v>27</v>
      </c>
      <c r="B28" s="6" t="s">
        <v>88</v>
      </c>
      <c r="C28" s="6">
        <v>1</v>
      </c>
      <c r="D28" s="6" t="s">
        <v>130</v>
      </c>
      <c r="E28" s="6" t="s">
        <v>131</v>
      </c>
      <c r="F28" s="6">
        <v>2</v>
      </c>
      <c r="G28" s="6" t="s">
        <v>253</v>
      </c>
      <c r="H28" s="6" t="s">
        <v>356</v>
      </c>
      <c r="I28" s="6">
        <v>1</v>
      </c>
      <c r="J28" s="6" t="s">
        <v>253</v>
      </c>
      <c r="K28" s="6" t="s">
        <v>357</v>
      </c>
      <c r="L28" s="6">
        <v>3</v>
      </c>
      <c r="M28" s="6" t="s">
        <v>253</v>
      </c>
      <c r="N28" s="6" t="s">
        <v>358</v>
      </c>
      <c r="O28" s="6">
        <v>2</v>
      </c>
      <c r="P28" s="6" t="s">
        <v>253</v>
      </c>
      <c r="Q28" s="6" t="s">
        <v>359</v>
      </c>
      <c r="R28" s="6">
        <v>2</v>
      </c>
      <c r="S28" s="6" t="s">
        <v>253</v>
      </c>
      <c r="T28" s="6" t="s">
        <v>360</v>
      </c>
      <c r="U28" s="6">
        <v>2</v>
      </c>
      <c r="V28" s="6" t="s">
        <v>130</v>
      </c>
      <c r="W28" s="6" t="s">
        <v>259</v>
      </c>
      <c r="X28" s="6" t="s">
        <v>32</v>
      </c>
      <c r="Y28" s="6" t="s">
        <v>361</v>
      </c>
      <c r="Z28" s="6" t="s">
        <v>32</v>
      </c>
      <c r="AA28" s="6" t="s">
        <v>89</v>
      </c>
      <c r="AB28" s="6" t="s">
        <v>32</v>
      </c>
      <c r="AC28" s="6" t="s">
        <v>362</v>
      </c>
      <c r="AD28" s="6" t="s">
        <v>32</v>
      </c>
      <c r="AE28" s="6" t="s">
        <v>361</v>
      </c>
    </row>
    <row r="29" spans="1:31" x14ac:dyDescent="0.25">
      <c r="A29" s="6">
        <v>28</v>
      </c>
      <c r="B29" s="6" t="s">
        <v>91</v>
      </c>
      <c r="C29" s="6">
        <v>3</v>
      </c>
      <c r="D29" s="6" t="s">
        <v>130</v>
      </c>
      <c r="E29" s="6" t="s">
        <v>363</v>
      </c>
      <c r="F29" s="6">
        <v>3</v>
      </c>
      <c r="G29" s="6" t="s">
        <v>130</v>
      </c>
      <c r="H29" s="6" t="s">
        <v>364</v>
      </c>
      <c r="I29" s="6">
        <v>1</v>
      </c>
      <c r="J29" s="6" t="s">
        <v>130</v>
      </c>
      <c r="K29" s="6" t="s">
        <v>365</v>
      </c>
      <c r="L29" s="6">
        <v>3</v>
      </c>
      <c r="M29" s="6" t="s">
        <v>130</v>
      </c>
      <c r="N29" s="6" t="s">
        <v>366</v>
      </c>
      <c r="O29" s="6">
        <v>1</v>
      </c>
      <c r="P29" s="6" t="s">
        <v>130</v>
      </c>
      <c r="Q29" s="6" t="s">
        <v>367</v>
      </c>
      <c r="R29" s="6" t="s">
        <v>92</v>
      </c>
      <c r="S29" s="6" t="s">
        <v>93</v>
      </c>
      <c r="T29" s="6" t="s">
        <v>93</v>
      </c>
      <c r="U29" s="6">
        <v>3</v>
      </c>
      <c r="V29" s="6" t="s">
        <v>130</v>
      </c>
      <c r="W29" s="6" t="s">
        <v>368</v>
      </c>
      <c r="X29" s="6" t="s">
        <v>93</v>
      </c>
      <c r="Y29" s="6" t="s">
        <v>93</v>
      </c>
      <c r="Z29" s="6" t="s">
        <v>93</v>
      </c>
      <c r="AA29" s="6" t="s">
        <v>93</v>
      </c>
      <c r="AB29" s="6" t="s">
        <v>93</v>
      </c>
      <c r="AC29" s="6" t="s">
        <v>93</v>
      </c>
      <c r="AD29" s="6" t="s">
        <v>93</v>
      </c>
      <c r="AE29" s="6" t="s">
        <v>93</v>
      </c>
    </row>
    <row r="30" spans="1:31" x14ac:dyDescent="0.25">
      <c r="A30" s="6">
        <v>29</v>
      </c>
      <c r="B30" s="6" t="s">
        <v>94</v>
      </c>
      <c r="C30" s="6">
        <v>3</v>
      </c>
      <c r="D30" s="6" t="s">
        <v>130</v>
      </c>
      <c r="E30" s="6" t="s">
        <v>369</v>
      </c>
      <c r="F30" s="6">
        <v>3</v>
      </c>
      <c r="G30" s="6" t="s">
        <v>130</v>
      </c>
      <c r="H30" s="6" t="s">
        <v>370</v>
      </c>
      <c r="I30" s="6">
        <v>1</v>
      </c>
      <c r="J30" s="6" t="s">
        <v>130</v>
      </c>
      <c r="K30" s="6" t="s">
        <v>365</v>
      </c>
      <c r="L30" s="6">
        <v>3</v>
      </c>
      <c r="M30" s="6" t="s">
        <v>130</v>
      </c>
      <c r="N30" s="6" t="s">
        <v>366</v>
      </c>
      <c r="O30" s="6">
        <v>1</v>
      </c>
      <c r="P30" s="6" t="s">
        <v>130</v>
      </c>
      <c r="Q30" s="6" t="s">
        <v>367</v>
      </c>
      <c r="R30" s="6" t="s">
        <v>92</v>
      </c>
      <c r="S30" s="6" t="s">
        <v>93</v>
      </c>
      <c r="T30" s="6" t="s">
        <v>93</v>
      </c>
      <c r="U30" s="6">
        <v>3</v>
      </c>
      <c r="V30" s="6" t="s">
        <v>130</v>
      </c>
      <c r="W30" s="6" t="s">
        <v>368</v>
      </c>
      <c r="X30" s="6" t="s">
        <v>93</v>
      </c>
      <c r="Y30" s="6" t="s">
        <v>93</v>
      </c>
      <c r="Z30" s="6" t="s">
        <v>93</v>
      </c>
      <c r="AA30" s="6" t="s">
        <v>93</v>
      </c>
      <c r="AB30" s="6" t="s">
        <v>93</v>
      </c>
      <c r="AC30" s="6" t="s">
        <v>93</v>
      </c>
      <c r="AD30" s="6" t="s">
        <v>93</v>
      </c>
      <c r="AE30" s="6" t="s">
        <v>93</v>
      </c>
    </row>
    <row r="31" spans="1:31" x14ac:dyDescent="0.25">
      <c r="A31" s="6">
        <v>30</v>
      </c>
      <c r="B31" s="6" t="s">
        <v>95</v>
      </c>
      <c r="C31" s="6">
        <v>3</v>
      </c>
      <c r="D31" s="6" t="s">
        <v>130</v>
      </c>
      <c r="E31" s="6" t="s">
        <v>371</v>
      </c>
      <c r="F31" s="6">
        <v>3</v>
      </c>
      <c r="G31" s="6" t="s">
        <v>130</v>
      </c>
      <c r="H31" s="6" t="s">
        <v>372</v>
      </c>
      <c r="I31" s="6">
        <v>1</v>
      </c>
      <c r="J31" s="6" t="s">
        <v>130</v>
      </c>
      <c r="K31" s="6" t="s">
        <v>365</v>
      </c>
      <c r="L31" s="6">
        <v>3</v>
      </c>
      <c r="M31" s="6" t="s">
        <v>130</v>
      </c>
      <c r="N31" s="6" t="s">
        <v>366</v>
      </c>
      <c r="O31" s="6">
        <v>1</v>
      </c>
      <c r="P31" s="6" t="s">
        <v>130</v>
      </c>
      <c r="Q31" s="6" t="s">
        <v>367</v>
      </c>
      <c r="R31" s="6" t="s">
        <v>92</v>
      </c>
      <c r="S31" s="6" t="s">
        <v>93</v>
      </c>
      <c r="T31" s="6" t="s">
        <v>93</v>
      </c>
      <c r="U31" s="6">
        <v>3</v>
      </c>
      <c r="V31" s="6" t="s">
        <v>130</v>
      </c>
      <c r="W31" s="6" t="s">
        <v>368</v>
      </c>
      <c r="X31" s="6" t="s">
        <v>93</v>
      </c>
      <c r="Y31" s="6" t="s">
        <v>93</v>
      </c>
      <c r="Z31" s="6" t="s">
        <v>93</v>
      </c>
      <c r="AA31" s="6" t="s">
        <v>93</v>
      </c>
      <c r="AB31" s="6" t="s">
        <v>93</v>
      </c>
      <c r="AC31" s="6" t="s">
        <v>93</v>
      </c>
      <c r="AD31" s="6" t="s">
        <v>93</v>
      </c>
      <c r="AE31" s="6" t="s">
        <v>93</v>
      </c>
    </row>
    <row r="32" spans="1:31" x14ac:dyDescent="0.25">
      <c r="A32" s="6">
        <v>31</v>
      </c>
      <c r="B32" s="6" t="s">
        <v>96</v>
      </c>
      <c r="C32" s="6">
        <v>3</v>
      </c>
      <c r="D32" s="6" t="s">
        <v>130</v>
      </c>
      <c r="E32" s="6" t="s">
        <v>373</v>
      </c>
      <c r="F32" s="6">
        <v>3</v>
      </c>
      <c r="G32" s="6" t="s">
        <v>130</v>
      </c>
      <c r="H32" s="6" t="s">
        <v>374</v>
      </c>
      <c r="I32" s="6">
        <v>1</v>
      </c>
      <c r="J32" s="6" t="s">
        <v>130</v>
      </c>
      <c r="K32" s="6" t="s">
        <v>365</v>
      </c>
      <c r="L32" s="6">
        <v>3</v>
      </c>
      <c r="M32" s="6" t="s">
        <v>130</v>
      </c>
      <c r="N32" s="6" t="s">
        <v>366</v>
      </c>
      <c r="O32" s="6">
        <v>1</v>
      </c>
      <c r="P32" s="6" t="s">
        <v>130</v>
      </c>
      <c r="Q32" s="6" t="s">
        <v>367</v>
      </c>
      <c r="R32" s="6" t="s">
        <v>92</v>
      </c>
      <c r="S32" s="6" t="s">
        <v>93</v>
      </c>
      <c r="T32" s="6" t="s">
        <v>93</v>
      </c>
      <c r="U32" s="6">
        <v>3</v>
      </c>
      <c r="V32" s="6" t="s">
        <v>130</v>
      </c>
      <c r="W32" s="6" t="s">
        <v>368</v>
      </c>
      <c r="X32" s="6" t="s">
        <v>93</v>
      </c>
      <c r="Y32" s="6" t="s">
        <v>93</v>
      </c>
      <c r="Z32" s="6" t="s">
        <v>93</v>
      </c>
      <c r="AA32" s="6" t="s">
        <v>93</v>
      </c>
      <c r="AB32" s="6" t="s">
        <v>93</v>
      </c>
      <c r="AC32" s="6" t="s">
        <v>93</v>
      </c>
      <c r="AD32" s="6" t="s">
        <v>93</v>
      </c>
      <c r="AE32" s="6" t="s">
        <v>93</v>
      </c>
    </row>
    <row r="33" spans="1:31" x14ac:dyDescent="0.25">
      <c r="A33" s="6">
        <v>32</v>
      </c>
      <c r="B33" s="6" t="s">
        <v>97</v>
      </c>
      <c r="C33" s="6">
        <v>3</v>
      </c>
      <c r="D33" s="6" t="s">
        <v>130</v>
      </c>
      <c r="E33" s="6" t="s">
        <v>375</v>
      </c>
      <c r="F33" s="6">
        <v>3</v>
      </c>
      <c r="G33" s="6" t="s">
        <v>130</v>
      </c>
      <c r="H33" s="6" t="s">
        <v>376</v>
      </c>
      <c r="I33" s="6">
        <v>1</v>
      </c>
      <c r="J33" s="6" t="s">
        <v>130</v>
      </c>
      <c r="K33" s="6" t="s">
        <v>365</v>
      </c>
      <c r="L33" s="6">
        <v>3</v>
      </c>
      <c r="M33" s="6" t="s">
        <v>130</v>
      </c>
      <c r="N33" s="6" t="s">
        <v>366</v>
      </c>
      <c r="O33" s="6">
        <v>1</v>
      </c>
      <c r="P33" s="6" t="s">
        <v>130</v>
      </c>
      <c r="Q33" s="6" t="s">
        <v>367</v>
      </c>
      <c r="R33" s="6" t="s">
        <v>92</v>
      </c>
      <c r="S33" s="6" t="s">
        <v>93</v>
      </c>
      <c r="T33" s="6" t="s">
        <v>93</v>
      </c>
      <c r="U33" s="6">
        <v>3</v>
      </c>
      <c r="V33" s="6" t="s">
        <v>130</v>
      </c>
      <c r="W33" s="6" t="s">
        <v>368</v>
      </c>
      <c r="X33" s="6" t="s">
        <v>93</v>
      </c>
      <c r="Y33" s="6" t="s">
        <v>93</v>
      </c>
      <c r="Z33" s="6" t="s">
        <v>93</v>
      </c>
      <c r="AA33" s="6" t="s">
        <v>93</v>
      </c>
      <c r="AB33" s="6" t="s">
        <v>93</v>
      </c>
      <c r="AC33" s="6" t="s">
        <v>93</v>
      </c>
      <c r="AD33" s="6" t="s">
        <v>93</v>
      </c>
      <c r="AE33" s="6" t="s">
        <v>93</v>
      </c>
    </row>
    <row r="34" spans="1:31" x14ac:dyDescent="0.25">
      <c r="A34" s="6">
        <v>33</v>
      </c>
      <c r="B34" s="6" t="s">
        <v>98</v>
      </c>
      <c r="C34" s="6">
        <v>3</v>
      </c>
      <c r="D34" s="6" t="s">
        <v>130</v>
      </c>
      <c r="E34" s="6" t="s">
        <v>377</v>
      </c>
      <c r="F34" s="6">
        <v>3</v>
      </c>
      <c r="G34" s="6" t="s">
        <v>130</v>
      </c>
      <c r="H34" s="6" t="s">
        <v>378</v>
      </c>
      <c r="I34" s="6">
        <v>1</v>
      </c>
      <c r="J34" s="6" t="s">
        <v>130</v>
      </c>
      <c r="K34" s="6" t="s">
        <v>365</v>
      </c>
      <c r="L34" s="6">
        <v>3</v>
      </c>
      <c r="M34" s="6" t="s">
        <v>130</v>
      </c>
      <c r="N34" s="6" t="s">
        <v>366</v>
      </c>
      <c r="O34" s="6">
        <v>1</v>
      </c>
      <c r="P34" s="6" t="s">
        <v>130</v>
      </c>
      <c r="Q34" s="6" t="s">
        <v>367</v>
      </c>
      <c r="R34" s="6" t="s">
        <v>92</v>
      </c>
      <c r="S34" s="6" t="s">
        <v>93</v>
      </c>
      <c r="T34" s="6" t="s">
        <v>93</v>
      </c>
      <c r="U34" s="6">
        <v>3</v>
      </c>
      <c r="V34" s="6" t="s">
        <v>130</v>
      </c>
      <c r="W34" s="6" t="s">
        <v>368</v>
      </c>
      <c r="X34" s="6" t="s">
        <v>93</v>
      </c>
      <c r="Y34" s="6" t="s">
        <v>93</v>
      </c>
      <c r="Z34" s="6" t="s">
        <v>93</v>
      </c>
      <c r="AA34" s="6" t="s">
        <v>93</v>
      </c>
      <c r="AB34" s="6" t="s">
        <v>93</v>
      </c>
      <c r="AC34" s="6" t="s">
        <v>93</v>
      </c>
      <c r="AD34" s="6" t="s">
        <v>93</v>
      </c>
      <c r="AE34" s="6" t="s">
        <v>93</v>
      </c>
    </row>
    <row r="35" spans="1:31" x14ac:dyDescent="0.25">
      <c r="A35" s="6">
        <v>34</v>
      </c>
      <c r="B35" s="6" t="s">
        <v>99</v>
      </c>
      <c r="C35" s="6">
        <v>1</v>
      </c>
      <c r="D35" s="6" t="s">
        <v>130</v>
      </c>
      <c r="E35" s="6" t="s">
        <v>379</v>
      </c>
      <c r="F35" s="6">
        <v>2</v>
      </c>
      <c r="G35" s="6" t="s">
        <v>130</v>
      </c>
      <c r="H35" s="6" t="s">
        <v>380</v>
      </c>
      <c r="I35" s="6">
        <v>1</v>
      </c>
      <c r="J35" s="6" t="s">
        <v>130</v>
      </c>
      <c r="K35" s="6" t="s">
        <v>365</v>
      </c>
      <c r="L35" s="6">
        <v>3</v>
      </c>
      <c r="M35" s="6" t="s">
        <v>130</v>
      </c>
      <c r="N35" s="6" t="s">
        <v>366</v>
      </c>
      <c r="O35" s="6">
        <v>1</v>
      </c>
      <c r="P35" s="6" t="s">
        <v>130</v>
      </c>
      <c r="Q35" s="6" t="s">
        <v>367</v>
      </c>
      <c r="R35" s="6" t="s">
        <v>92</v>
      </c>
      <c r="S35" s="6" t="s">
        <v>93</v>
      </c>
      <c r="T35" s="6" t="s">
        <v>93</v>
      </c>
      <c r="U35" s="6">
        <v>3</v>
      </c>
      <c r="V35" s="6" t="s">
        <v>130</v>
      </c>
      <c r="W35" s="6" t="s">
        <v>368</v>
      </c>
      <c r="X35" s="6" t="s">
        <v>93</v>
      </c>
      <c r="Y35" s="6" t="s">
        <v>93</v>
      </c>
      <c r="Z35" s="6" t="s">
        <v>93</v>
      </c>
      <c r="AA35" s="6" t="s">
        <v>93</v>
      </c>
      <c r="AB35" s="6" t="s">
        <v>93</v>
      </c>
      <c r="AC35" s="6" t="s">
        <v>93</v>
      </c>
      <c r="AD35" s="6" t="s">
        <v>93</v>
      </c>
      <c r="AE35" s="6" t="s">
        <v>93</v>
      </c>
    </row>
    <row r="36" spans="1:31" x14ac:dyDescent="0.25">
      <c r="A36" s="6">
        <v>35</v>
      </c>
      <c r="B36" s="6" t="s">
        <v>100</v>
      </c>
      <c r="C36" s="6">
        <v>1</v>
      </c>
      <c r="D36" s="6" t="s">
        <v>130</v>
      </c>
      <c r="E36" s="6" t="s">
        <v>379</v>
      </c>
      <c r="F36" s="6">
        <v>2</v>
      </c>
      <c r="G36" s="6" t="s">
        <v>130</v>
      </c>
      <c r="H36" s="6" t="s">
        <v>381</v>
      </c>
      <c r="I36" s="6">
        <v>1</v>
      </c>
      <c r="J36" s="6" t="s">
        <v>130</v>
      </c>
      <c r="K36" s="6" t="s">
        <v>365</v>
      </c>
      <c r="L36" s="6">
        <v>3</v>
      </c>
      <c r="M36" s="6" t="s">
        <v>130</v>
      </c>
      <c r="N36" s="6" t="s">
        <v>366</v>
      </c>
      <c r="O36" s="6">
        <v>1</v>
      </c>
      <c r="P36" s="6" t="s">
        <v>130</v>
      </c>
      <c r="Q36" s="6" t="s">
        <v>367</v>
      </c>
      <c r="R36" s="6" t="s">
        <v>92</v>
      </c>
      <c r="S36" s="6" t="s">
        <v>93</v>
      </c>
      <c r="T36" s="6" t="s">
        <v>93</v>
      </c>
      <c r="U36" s="6">
        <v>3</v>
      </c>
      <c r="V36" s="6" t="s">
        <v>130</v>
      </c>
      <c r="W36" s="6" t="s">
        <v>368</v>
      </c>
      <c r="X36" s="6" t="s">
        <v>93</v>
      </c>
      <c r="Y36" s="6" t="s">
        <v>93</v>
      </c>
      <c r="Z36" s="6" t="s">
        <v>93</v>
      </c>
      <c r="AA36" s="6" t="s">
        <v>93</v>
      </c>
      <c r="AB36" s="6" t="s">
        <v>93</v>
      </c>
      <c r="AC36" s="6" t="s">
        <v>93</v>
      </c>
      <c r="AD36" s="6" t="s">
        <v>93</v>
      </c>
      <c r="AE36" s="6" t="s">
        <v>93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11"/>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7" customWidth="1"/>
    <col min="3" max="4" width="45" customWidth="1"/>
    <col min="5" max="5" width="24" customWidth="1"/>
    <col min="6" max="6" width="60" customWidth="1"/>
    <col min="7" max="7" width="20" customWidth="1"/>
  </cols>
  <sheetData>
    <row r="1" ht="30" customHeight="1" spans="1:7" x14ac:dyDescent="0.25">
      <c r="A1" s="4" t="s">
        <v>3</v>
      </c>
      <c r="B1" s="4" t="s">
        <v>6</v>
      </c>
      <c r="C1" s="4" t="s">
        <v>382</v>
      </c>
      <c r="D1" s="4" t="s">
        <v>383</v>
      </c>
      <c r="E1" s="4" t="s">
        <v>384</v>
      </c>
      <c r="F1" s="4" t="s">
        <v>385</v>
      </c>
      <c r="G1" s="4" t="s">
        <v>386</v>
      </c>
    </row>
    <row r="2" spans="1:7" x14ac:dyDescent="0.25">
      <c r="A2" s="6">
        <v>1</v>
      </c>
      <c r="B2" s="6" t="s">
        <v>31</v>
      </c>
      <c r="C2" s="6" t="s">
        <v>387</v>
      </c>
      <c r="D2" s="6" t="s">
        <v>388</v>
      </c>
      <c r="E2" s="6" t="s">
        <v>25</v>
      </c>
      <c r="F2" s="6" t="s">
        <v>389</v>
      </c>
      <c r="G2" s="6" t="s">
        <v>93</v>
      </c>
    </row>
    <row r="3" spans="1:7" x14ac:dyDescent="0.25">
      <c r="A3" s="6">
        <v>2</v>
      </c>
      <c r="B3" s="6" t="s">
        <v>31</v>
      </c>
      <c r="C3" s="6" t="s">
        <v>390</v>
      </c>
      <c r="D3" s="6" t="s">
        <v>391</v>
      </c>
      <c r="E3" s="6" t="s">
        <v>24</v>
      </c>
      <c r="F3" s="6" t="s">
        <v>392</v>
      </c>
      <c r="G3" s="6" t="s">
        <v>393</v>
      </c>
    </row>
    <row r="4" spans="1:7" x14ac:dyDescent="0.25">
      <c r="A4" s="6">
        <v>3</v>
      </c>
      <c r="B4" s="6" t="s">
        <v>31</v>
      </c>
      <c r="C4" s="6" t="s">
        <v>394</v>
      </c>
      <c r="D4" s="6" t="s">
        <v>395</v>
      </c>
      <c r="E4" s="6" t="s">
        <v>396</v>
      </c>
      <c r="F4" s="6" t="s">
        <v>397</v>
      </c>
      <c r="G4" s="6" t="s">
        <v>93</v>
      </c>
    </row>
    <row r="5" spans="1:7" x14ac:dyDescent="0.25">
      <c r="A5" s="6">
        <v>4</v>
      </c>
      <c r="B5" s="6" t="s">
        <v>31</v>
      </c>
      <c r="C5" s="6" t="s">
        <v>398</v>
      </c>
      <c r="D5" s="6" t="s">
        <v>399</v>
      </c>
      <c r="E5" s="6" t="s">
        <v>24</v>
      </c>
      <c r="F5" s="6" t="s">
        <v>400</v>
      </c>
      <c r="G5" s="6" t="s">
        <v>401</v>
      </c>
    </row>
    <row r="6" spans="1:7" x14ac:dyDescent="0.25">
      <c r="A6" s="6">
        <v>5</v>
      </c>
      <c r="B6" s="6" t="s">
        <v>31</v>
      </c>
      <c r="C6" s="6" t="s">
        <v>402</v>
      </c>
      <c r="D6" s="6" t="s">
        <v>403</v>
      </c>
      <c r="E6" s="6" t="s">
        <v>404</v>
      </c>
      <c r="F6" s="6" t="s">
        <v>405</v>
      </c>
      <c r="G6" s="6" t="s">
        <v>93</v>
      </c>
    </row>
    <row r="7" spans="1:7" x14ac:dyDescent="0.25">
      <c r="A7" s="6">
        <v>6</v>
      </c>
      <c r="B7" s="6" t="s">
        <v>31</v>
      </c>
      <c r="C7" s="6" t="s">
        <v>406</v>
      </c>
      <c r="D7" s="6" t="s">
        <v>407</v>
      </c>
      <c r="E7" s="6" t="s">
        <v>25</v>
      </c>
      <c r="F7" s="6" t="s">
        <v>408</v>
      </c>
      <c r="G7" s="6" t="s">
        <v>93</v>
      </c>
    </row>
    <row r="8" spans="1:7" x14ac:dyDescent="0.25">
      <c r="A8" s="6">
        <v>7</v>
      </c>
      <c r="B8" s="6" t="s">
        <v>31</v>
      </c>
      <c r="C8" s="6" t="s">
        <v>409</v>
      </c>
      <c r="D8" s="6" t="s">
        <v>410</v>
      </c>
      <c r="E8" s="6" t="s">
        <v>396</v>
      </c>
      <c r="F8" s="6" t="s">
        <v>411</v>
      </c>
      <c r="G8" s="6" t="s">
        <v>93</v>
      </c>
    </row>
    <row r="9" spans="1:7" x14ac:dyDescent="0.25">
      <c r="A9" s="6">
        <v>8</v>
      </c>
      <c r="B9" s="6" t="s">
        <v>31</v>
      </c>
      <c r="C9" s="6" t="s">
        <v>412</v>
      </c>
      <c r="D9" s="6" t="s">
        <v>413</v>
      </c>
      <c r="E9" s="6" t="s">
        <v>25</v>
      </c>
      <c r="F9" s="6" t="s">
        <v>414</v>
      </c>
      <c r="G9" s="6" t="s">
        <v>93</v>
      </c>
    </row>
    <row r="10" spans="1:7" x14ac:dyDescent="0.25">
      <c r="A10" s="6">
        <v>9</v>
      </c>
      <c r="B10" s="6" t="s">
        <v>31</v>
      </c>
      <c r="C10" s="6" t="s">
        <v>415</v>
      </c>
      <c r="D10" s="6" t="s">
        <v>416</v>
      </c>
      <c r="E10" s="6" t="s">
        <v>417</v>
      </c>
      <c r="F10" s="6" t="s">
        <v>418</v>
      </c>
      <c r="G10" s="6" t="s">
        <v>401</v>
      </c>
    </row>
    <row r="11" spans="1:7" x14ac:dyDescent="0.25">
      <c r="A11" s="6">
        <v>10</v>
      </c>
      <c r="B11" s="6" t="s">
        <v>31</v>
      </c>
      <c r="C11" s="6" t="s">
        <v>419</v>
      </c>
      <c r="D11" s="6" t="s">
        <v>420</v>
      </c>
      <c r="E11" s="6" t="s">
        <v>417</v>
      </c>
      <c r="F11" s="6" t="s">
        <v>421</v>
      </c>
      <c r="G11" s="6" t="s">
        <v>401</v>
      </c>
    </row>
    <row r="12" spans="1:7" x14ac:dyDescent="0.25">
      <c r="A12" s="6">
        <v>11</v>
      </c>
      <c r="B12" s="6" t="s">
        <v>31</v>
      </c>
      <c r="C12" s="6" t="s">
        <v>422</v>
      </c>
      <c r="D12" s="6" t="s">
        <v>423</v>
      </c>
      <c r="E12" s="6" t="s">
        <v>25</v>
      </c>
      <c r="F12" s="6" t="s">
        <v>424</v>
      </c>
      <c r="G12" s="6" t="s">
        <v>93</v>
      </c>
    </row>
    <row r="13" spans="1:7" x14ac:dyDescent="0.25">
      <c r="A13" s="6">
        <v>12</v>
      </c>
      <c r="B13" s="6" t="s">
        <v>31</v>
      </c>
      <c r="C13" s="6" t="s">
        <v>425</v>
      </c>
      <c r="D13" s="6" t="s">
        <v>426</v>
      </c>
      <c r="E13" s="6" t="s">
        <v>22</v>
      </c>
      <c r="F13" s="6" t="s">
        <v>427</v>
      </c>
      <c r="G13" s="6" t="s">
        <v>93</v>
      </c>
    </row>
    <row r="14" spans="1:7" x14ac:dyDescent="0.25">
      <c r="A14" s="6">
        <v>13</v>
      </c>
      <c r="B14" s="6" t="s">
        <v>31</v>
      </c>
      <c r="C14" s="6" t="s">
        <v>428</v>
      </c>
      <c r="D14" s="6" t="s">
        <v>429</v>
      </c>
      <c r="E14" s="6" t="s">
        <v>22</v>
      </c>
      <c r="F14" s="6" t="s">
        <v>430</v>
      </c>
      <c r="G14" s="6" t="s">
        <v>93</v>
      </c>
    </row>
    <row r="15" spans="1:7" x14ac:dyDescent="0.25">
      <c r="A15" s="6">
        <v>14</v>
      </c>
      <c r="B15" s="6" t="s">
        <v>31</v>
      </c>
      <c r="C15" s="6" t="s">
        <v>431</v>
      </c>
      <c r="D15" s="6" t="s">
        <v>432</v>
      </c>
      <c r="E15" s="6" t="s">
        <v>417</v>
      </c>
      <c r="F15" s="6" t="s">
        <v>433</v>
      </c>
      <c r="G15" s="6" t="s">
        <v>401</v>
      </c>
    </row>
    <row r="16" spans="1:7" x14ac:dyDescent="0.25">
      <c r="A16" s="6">
        <v>15</v>
      </c>
      <c r="B16" s="6" t="s">
        <v>31</v>
      </c>
      <c r="C16" s="6" t="s">
        <v>434</v>
      </c>
      <c r="D16" s="6" t="s">
        <v>435</v>
      </c>
      <c r="E16" s="6" t="s">
        <v>396</v>
      </c>
      <c r="F16" s="6" t="s">
        <v>436</v>
      </c>
      <c r="G16" s="6" t="s">
        <v>93</v>
      </c>
    </row>
    <row r="17" spans="1:7" x14ac:dyDescent="0.25">
      <c r="A17" s="6">
        <v>16</v>
      </c>
      <c r="B17" s="6" t="s">
        <v>31</v>
      </c>
      <c r="C17" s="6" t="s">
        <v>437</v>
      </c>
      <c r="D17" s="6" t="s">
        <v>438</v>
      </c>
      <c r="E17" s="6" t="s">
        <v>404</v>
      </c>
      <c r="F17" s="6" t="s">
        <v>439</v>
      </c>
      <c r="G17" s="6" t="s">
        <v>93</v>
      </c>
    </row>
    <row r="18" spans="1:7" x14ac:dyDescent="0.25">
      <c r="A18" s="6">
        <v>17</v>
      </c>
      <c r="B18" s="6" t="s">
        <v>31</v>
      </c>
      <c r="C18" s="6" t="s">
        <v>440</v>
      </c>
      <c r="D18" s="6" t="s">
        <v>441</v>
      </c>
      <c r="E18" s="6" t="s">
        <v>22</v>
      </c>
      <c r="F18" s="6" t="s">
        <v>442</v>
      </c>
      <c r="G18" s="6" t="s">
        <v>93</v>
      </c>
    </row>
    <row r="19" spans="1:7" x14ac:dyDescent="0.25">
      <c r="A19" s="6">
        <v>18</v>
      </c>
      <c r="B19" s="6" t="s">
        <v>31</v>
      </c>
      <c r="C19" s="6" t="s">
        <v>443</v>
      </c>
      <c r="D19" s="6" t="s">
        <v>444</v>
      </c>
      <c r="E19" s="6" t="s">
        <v>445</v>
      </c>
      <c r="F19" s="6" t="s">
        <v>446</v>
      </c>
      <c r="G19" s="6" t="s">
        <v>447</v>
      </c>
    </row>
    <row r="20" spans="1:7" x14ac:dyDescent="0.25">
      <c r="A20" s="6">
        <v>19</v>
      </c>
      <c r="B20" s="6" t="s">
        <v>31</v>
      </c>
      <c r="C20" s="6" t="s">
        <v>448</v>
      </c>
      <c r="D20" s="6" t="s">
        <v>449</v>
      </c>
      <c r="E20" s="6" t="s">
        <v>450</v>
      </c>
      <c r="F20" s="6" t="s">
        <v>451</v>
      </c>
      <c r="G20" s="6" t="s">
        <v>452</v>
      </c>
    </row>
    <row r="21" spans="1:7" x14ac:dyDescent="0.25">
      <c r="A21" s="6">
        <v>20</v>
      </c>
      <c r="B21" s="6" t="s">
        <v>31</v>
      </c>
      <c r="C21" s="6" t="s">
        <v>453</v>
      </c>
      <c r="D21" s="6" t="s">
        <v>454</v>
      </c>
      <c r="E21" s="6" t="s">
        <v>445</v>
      </c>
      <c r="F21" s="6" t="s">
        <v>455</v>
      </c>
      <c r="G21" s="6" t="s">
        <v>452</v>
      </c>
    </row>
    <row r="22" spans="1:7" x14ac:dyDescent="0.25">
      <c r="A22" s="6">
        <v>21</v>
      </c>
      <c r="B22" s="6" t="s">
        <v>31</v>
      </c>
      <c r="C22" s="6" t="s">
        <v>456</v>
      </c>
      <c r="D22" s="6" t="s">
        <v>457</v>
      </c>
      <c r="E22" s="6" t="s">
        <v>450</v>
      </c>
      <c r="F22" s="6" t="s">
        <v>458</v>
      </c>
      <c r="G22" s="6" t="s">
        <v>401</v>
      </c>
    </row>
    <row r="23" spans="1:7" x14ac:dyDescent="0.25">
      <c r="A23" s="6">
        <v>22</v>
      </c>
      <c r="B23" s="6" t="s">
        <v>31</v>
      </c>
      <c r="C23" s="6" t="s">
        <v>459</v>
      </c>
      <c r="D23" s="6" t="s">
        <v>460</v>
      </c>
      <c r="E23" s="6" t="s">
        <v>461</v>
      </c>
      <c r="F23" s="6" t="s">
        <v>462</v>
      </c>
      <c r="G23" s="6" t="s">
        <v>93</v>
      </c>
    </row>
    <row r="24" spans="1:7" x14ac:dyDescent="0.25">
      <c r="A24" s="6">
        <v>23</v>
      </c>
      <c r="B24" s="6" t="s">
        <v>31</v>
      </c>
      <c r="C24" s="6" t="s">
        <v>463</v>
      </c>
      <c r="D24" s="6" t="s">
        <v>464</v>
      </c>
      <c r="E24" s="6" t="s">
        <v>23</v>
      </c>
      <c r="F24" s="6" t="s">
        <v>465</v>
      </c>
      <c r="G24" s="6" t="s">
        <v>93</v>
      </c>
    </row>
    <row r="25" spans="1:7" x14ac:dyDescent="0.25">
      <c r="A25" s="6">
        <v>24</v>
      </c>
      <c r="B25" s="6" t="s">
        <v>31</v>
      </c>
      <c r="C25" s="6" t="s">
        <v>466</v>
      </c>
      <c r="D25" s="6" t="s">
        <v>467</v>
      </c>
      <c r="E25" s="6" t="s">
        <v>22</v>
      </c>
      <c r="F25" s="6" t="s">
        <v>468</v>
      </c>
      <c r="G25" s="6" t="s">
        <v>93</v>
      </c>
    </row>
    <row r="26" spans="1:7" x14ac:dyDescent="0.25">
      <c r="A26" s="6">
        <v>25</v>
      </c>
      <c r="B26" s="6" t="s">
        <v>31</v>
      </c>
      <c r="C26" s="6" t="s">
        <v>469</v>
      </c>
      <c r="D26" s="6" t="s">
        <v>470</v>
      </c>
      <c r="E26" s="6" t="s">
        <v>461</v>
      </c>
      <c r="F26" s="6" t="s">
        <v>471</v>
      </c>
      <c r="G26" s="6" t="s">
        <v>93</v>
      </c>
    </row>
    <row r="27" spans="1:7" x14ac:dyDescent="0.25">
      <c r="A27" s="6">
        <v>26</v>
      </c>
      <c r="B27" s="6" t="s">
        <v>31</v>
      </c>
      <c r="C27" s="6" t="s">
        <v>472</v>
      </c>
      <c r="D27" s="6" t="s">
        <v>473</v>
      </c>
      <c r="E27" s="6" t="s">
        <v>450</v>
      </c>
      <c r="F27" s="6" t="s">
        <v>474</v>
      </c>
      <c r="G27" s="6" t="s">
        <v>401</v>
      </c>
    </row>
    <row r="28" spans="1:7" x14ac:dyDescent="0.25">
      <c r="A28" s="6">
        <v>27</v>
      </c>
      <c r="B28" s="6" t="s">
        <v>31</v>
      </c>
      <c r="C28" s="6" t="s">
        <v>475</v>
      </c>
      <c r="D28" s="6" t="s">
        <v>476</v>
      </c>
      <c r="E28" s="6" t="s">
        <v>450</v>
      </c>
      <c r="F28" s="6" t="s">
        <v>477</v>
      </c>
      <c r="G28" s="6" t="s">
        <v>452</v>
      </c>
    </row>
    <row r="29" spans="1:7" x14ac:dyDescent="0.25">
      <c r="A29" s="6">
        <v>28</v>
      </c>
      <c r="B29" s="6" t="s">
        <v>31</v>
      </c>
      <c r="C29" s="6" t="s">
        <v>478</v>
      </c>
      <c r="D29" s="6" t="s">
        <v>479</v>
      </c>
      <c r="E29" s="6" t="s">
        <v>24</v>
      </c>
      <c r="F29" s="6" t="s">
        <v>480</v>
      </c>
      <c r="G29" s="6" t="s">
        <v>452</v>
      </c>
    </row>
    <row r="30" spans="1:7" x14ac:dyDescent="0.25">
      <c r="A30" s="6">
        <v>29</v>
      </c>
      <c r="B30" s="6" t="s">
        <v>31</v>
      </c>
      <c r="C30" s="6" t="s">
        <v>481</v>
      </c>
      <c r="D30" s="6" t="s">
        <v>482</v>
      </c>
      <c r="E30" s="6" t="s">
        <v>22</v>
      </c>
      <c r="F30" s="6" t="s">
        <v>483</v>
      </c>
      <c r="G30" s="6" t="s">
        <v>93</v>
      </c>
    </row>
    <row r="31" spans="1:7" x14ac:dyDescent="0.25">
      <c r="A31" s="6">
        <v>30</v>
      </c>
      <c r="B31" s="6" t="s">
        <v>31</v>
      </c>
      <c r="C31" s="6" t="s">
        <v>484</v>
      </c>
      <c r="D31" s="6" t="s">
        <v>485</v>
      </c>
      <c r="E31" s="6" t="s">
        <v>22</v>
      </c>
      <c r="F31" s="6" t="s">
        <v>486</v>
      </c>
      <c r="G31" s="6" t="s">
        <v>93</v>
      </c>
    </row>
    <row r="32" spans="1:7" x14ac:dyDescent="0.25">
      <c r="A32" s="6">
        <v>31</v>
      </c>
      <c r="B32" s="6" t="s">
        <v>31</v>
      </c>
      <c r="C32" s="6" t="s">
        <v>487</v>
      </c>
      <c r="D32" s="6" t="s">
        <v>488</v>
      </c>
      <c r="E32" s="6" t="s">
        <v>461</v>
      </c>
      <c r="F32" s="6" t="s">
        <v>489</v>
      </c>
      <c r="G32" s="6" t="s">
        <v>93</v>
      </c>
    </row>
    <row r="33" spans="1:7" x14ac:dyDescent="0.25">
      <c r="A33" s="6">
        <v>32</v>
      </c>
      <c r="B33" s="6" t="s">
        <v>31</v>
      </c>
      <c r="C33" s="6" t="s">
        <v>490</v>
      </c>
      <c r="D33" s="6" t="s">
        <v>491</v>
      </c>
      <c r="E33" s="6" t="s">
        <v>22</v>
      </c>
      <c r="F33" s="6" t="s">
        <v>492</v>
      </c>
      <c r="G33" s="6" t="s">
        <v>93</v>
      </c>
    </row>
    <row r="34" spans="1:7" x14ac:dyDescent="0.25">
      <c r="A34" s="6">
        <v>33</v>
      </c>
      <c r="B34" s="6" t="s">
        <v>31</v>
      </c>
      <c r="C34" s="6" t="s">
        <v>469</v>
      </c>
      <c r="D34" s="6" t="s">
        <v>493</v>
      </c>
      <c r="E34" s="6" t="s">
        <v>461</v>
      </c>
      <c r="F34" s="6" t="s">
        <v>494</v>
      </c>
      <c r="G34" s="6" t="s">
        <v>93</v>
      </c>
    </row>
    <row r="35" spans="1:7" x14ac:dyDescent="0.25">
      <c r="A35" s="6">
        <v>34</v>
      </c>
      <c r="B35" s="6" t="s">
        <v>31</v>
      </c>
      <c r="C35" s="6" t="s">
        <v>495</v>
      </c>
      <c r="D35" s="6" t="s">
        <v>496</v>
      </c>
      <c r="E35" s="6" t="s">
        <v>461</v>
      </c>
      <c r="F35" s="6" t="s">
        <v>497</v>
      </c>
      <c r="G35" s="6" t="s">
        <v>93</v>
      </c>
    </row>
    <row r="36" spans="1:7" x14ac:dyDescent="0.25">
      <c r="A36" s="6">
        <v>35</v>
      </c>
      <c r="B36" s="6" t="s">
        <v>31</v>
      </c>
      <c r="C36" s="6" t="s">
        <v>498</v>
      </c>
      <c r="D36" s="6" t="s">
        <v>499</v>
      </c>
      <c r="E36" s="6" t="s">
        <v>461</v>
      </c>
      <c r="F36" s="6" t="s">
        <v>500</v>
      </c>
      <c r="G36" s="6" t="s">
        <v>93</v>
      </c>
    </row>
    <row r="37" spans="1:7" x14ac:dyDescent="0.25">
      <c r="A37" s="6">
        <v>36</v>
      </c>
      <c r="B37" s="6" t="s">
        <v>31</v>
      </c>
      <c r="C37" s="6" t="s">
        <v>501</v>
      </c>
      <c r="D37" s="6" t="s">
        <v>502</v>
      </c>
      <c r="E37" s="6" t="s">
        <v>450</v>
      </c>
      <c r="F37" s="6" t="s">
        <v>503</v>
      </c>
      <c r="G37" s="6" t="s">
        <v>401</v>
      </c>
    </row>
    <row r="38" spans="1:7" x14ac:dyDescent="0.25">
      <c r="A38" s="6">
        <v>37</v>
      </c>
      <c r="B38" s="6" t="s">
        <v>31</v>
      </c>
      <c r="C38" s="6" t="s">
        <v>504</v>
      </c>
      <c r="D38" s="6" t="s">
        <v>505</v>
      </c>
      <c r="E38" s="6" t="s">
        <v>22</v>
      </c>
      <c r="F38" s="6" t="s">
        <v>506</v>
      </c>
      <c r="G38" s="6" t="s">
        <v>93</v>
      </c>
    </row>
    <row r="39" spans="1:7" x14ac:dyDescent="0.25">
      <c r="A39" s="6">
        <v>38</v>
      </c>
      <c r="B39" s="6" t="s">
        <v>31</v>
      </c>
      <c r="C39" s="6" t="s">
        <v>507</v>
      </c>
      <c r="D39" s="6" t="s">
        <v>508</v>
      </c>
      <c r="E39" s="6" t="s">
        <v>22</v>
      </c>
      <c r="F39" s="6" t="s">
        <v>509</v>
      </c>
      <c r="G39" s="6" t="s">
        <v>93</v>
      </c>
    </row>
    <row r="40" spans="1:7" x14ac:dyDescent="0.25">
      <c r="A40" s="6">
        <v>39</v>
      </c>
      <c r="B40" s="6" t="s">
        <v>31</v>
      </c>
      <c r="C40" s="6" t="s">
        <v>510</v>
      </c>
      <c r="D40" s="6" t="s">
        <v>511</v>
      </c>
      <c r="E40" s="6" t="s">
        <v>450</v>
      </c>
      <c r="F40" s="6" t="s">
        <v>512</v>
      </c>
      <c r="G40" s="6" t="s">
        <v>401</v>
      </c>
    </row>
    <row r="41" spans="1:7" x14ac:dyDescent="0.25">
      <c r="A41" s="6">
        <v>40</v>
      </c>
      <c r="B41" s="6" t="s">
        <v>31</v>
      </c>
      <c r="C41" s="6" t="s">
        <v>513</v>
      </c>
      <c r="D41" s="6" t="s">
        <v>514</v>
      </c>
      <c r="E41" s="6" t="s">
        <v>22</v>
      </c>
      <c r="F41" s="6" t="s">
        <v>515</v>
      </c>
      <c r="G41" s="6" t="s">
        <v>93</v>
      </c>
    </row>
    <row r="42" spans="1:7" x14ac:dyDescent="0.25">
      <c r="A42" s="6">
        <v>41</v>
      </c>
      <c r="B42" s="6" t="s">
        <v>31</v>
      </c>
      <c r="C42" s="6" t="s">
        <v>516</v>
      </c>
      <c r="D42" s="6" t="s">
        <v>517</v>
      </c>
      <c r="E42" s="6" t="s">
        <v>461</v>
      </c>
      <c r="F42" s="6" t="s">
        <v>518</v>
      </c>
      <c r="G42" s="6" t="s">
        <v>93</v>
      </c>
    </row>
    <row r="43" spans="1:7" x14ac:dyDescent="0.25">
      <c r="A43" s="6">
        <v>42</v>
      </c>
      <c r="B43" s="6" t="s">
        <v>31</v>
      </c>
      <c r="C43" s="6" t="s">
        <v>519</v>
      </c>
      <c r="D43" s="6" t="s">
        <v>520</v>
      </c>
      <c r="E43" s="6" t="s">
        <v>22</v>
      </c>
      <c r="F43" s="6" t="s">
        <v>521</v>
      </c>
      <c r="G43" s="6" t="s">
        <v>93</v>
      </c>
    </row>
    <row r="44" spans="1:7" x14ac:dyDescent="0.25">
      <c r="A44" s="6">
        <v>43</v>
      </c>
      <c r="B44" s="6" t="s">
        <v>31</v>
      </c>
      <c r="C44" s="6" t="s">
        <v>522</v>
      </c>
      <c r="D44" s="6" t="s">
        <v>523</v>
      </c>
      <c r="E44" s="6" t="s">
        <v>22</v>
      </c>
      <c r="F44" s="6" t="s">
        <v>524</v>
      </c>
      <c r="G44" s="6" t="s">
        <v>93</v>
      </c>
    </row>
    <row r="45" spans="1:7" x14ac:dyDescent="0.25">
      <c r="A45" s="6">
        <v>44</v>
      </c>
      <c r="B45" s="6" t="s">
        <v>31</v>
      </c>
      <c r="C45" s="6" t="s">
        <v>525</v>
      </c>
      <c r="D45" s="6" t="s">
        <v>526</v>
      </c>
      <c r="E45" s="6" t="s">
        <v>22</v>
      </c>
      <c r="F45" s="6" t="s">
        <v>527</v>
      </c>
      <c r="G45" s="6" t="s">
        <v>93</v>
      </c>
    </row>
    <row r="46" spans="1:7" x14ac:dyDescent="0.25">
      <c r="A46" s="6">
        <v>45</v>
      </c>
      <c r="B46" s="6" t="s">
        <v>31</v>
      </c>
      <c r="C46" s="6" t="s">
        <v>528</v>
      </c>
      <c r="D46" s="6" t="s">
        <v>529</v>
      </c>
      <c r="E46" s="6" t="s">
        <v>461</v>
      </c>
      <c r="F46" s="6" t="s">
        <v>530</v>
      </c>
      <c r="G46" s="6" t="s">
        <v>93</v>
      </c>
    </row>
    <row r="47" spans="1:7" x14ac:dyDescent="0.25">
      <c r="A47" s="6">
        <v>46</v>
      </c>
      <c r="B47" s="6" t="s">
        <v>31</v>
      </c>
      <c r="C47" s="6" t="s">
        <v>531</v>
      </c>
      <c r="D47" s="6" t="s">
        <v>532</v>
      </c>
      <c r="E47" s="6" t="s">
        <v>22</v>
      </c>
      <c r="F47" s="6" t="s">
        <v>533</v>
      </c>
      <c r="G47" s="6" t="s">
        <v>93</v>
      </c>
    </row>
    <row r="48" spans="1:7" x14ac:dyDescent="0.25">
      <c r="A48" s="6">
        <v>47</v>
      </c>
      <c r="B48" s="6" t="s">
        <v>31</v>
      </c>
      <c r="C48" s="6" t="s">
        <v>534</v>
      </c>
      <c r="D48" s="6" t="s">
        <v>535</v>
      </c>
      <c r="E48" s="6" t="s">
        <v>461</v>
      </c>
      <c r="F48" s="6" t="s">
        <v>536</v>
      </c>
      <c r="G48" s="6" t="s">
        <v>93</v>
      </c>
    </row>
    <row r="49" spans="1:7" x14ac:dyDescent="0.25">
      <c r="A49" s="6">
        <v>48</v>
      </c>
      <c r="B49" s="6" t="s">
        <v>31</v>
      </c>
      <c r="C49" s="6" t="s">
        <v>537</v>
      </c>
      <c r="D49" s="6" t="s">
        <v>538</v>
      </c>
      <c r="E49" s="6" t="s">
        <v>450</v>
      </c>
      <c r="F49" s="6" t="s">
        <v>539</v>
      </c>
      <c r="G49" s="6" t="s">
        <v>401</v>
      </c>
    </row>
    <row r="50" spans="1:7" x14ac:dyDescent="0.25">
      <c r="A50" s="6">
        <v>49</v>
      </c>
      <c r="B50" s="6" t="s">
        <v>31</v>
      </c>
      <c r="C50" s="6" t="s">
        <v>540</v>
      </c>
      <c r="D50" s="6" t="s">
        <v>541</v>
      </c>
      <c r="E50" s="6" t="s">
        <v>461</v>
      </c>
      <c r="F50" s="6" t="s">
        <v>542</v>
      </c>
      <c r="G50" s="6" t="s">
        <v>93</v>
      </c>
    </row>
    <row r="51" spans="1:7" x14ac:dyDescent="0.25">
      <c r="A51" s="6">
        <v>50</v>
      </c>
      <c r="B51" s="6" t="s">
        <v>31</v>
      </c>
      <c r="C51" s="6" t="s">
        <v>543</v>
      </c>
      <c r="D51" s="6" t="s">
        <v>544</v>
      </c>
      <c r="E51" s="6" t="s">
        <v>22</v>
      </c>
      <c r="F51" s="6" t="s">
        <v>545</v>
      </c>
      <c r="G51" s="6" t="s">
        <v>93</v>
      </c>
    </row>
    <row r="52" spans="1:7" x14ac:dyDescent="0.25">
      <c r="A52" s="6">
        <v>51</v>
      </c>
      <c r="B52" s="6" t="s">
        <v>31</v>
      </c>
      <c r="C52" s="6" t="s">
        <v>546</v>
      </c>
      <c r="D52" s="6" t="s">
        <v>547</v>
      </c>
      <c r="E52" s="6" t="s">
        <v>22</v>
      </c>
      <c r="F52" s="6" t="s">
        <v>548</v>
      </c>
      <c r="G52" s="6" t="s">
        <v>93</v>
      </c>
    </row>
    <row r="53" spans="1:7" x14ac:dyDescent="0.25">
      <c r="A53" s="6">
        <v>52</v>
      </c>
      <c r="B53" s="6" t="s">
        <v>31</v>
      </c>
      <c r="C53" s="6" t="s">
        <v>549</v>
      </c>
      <c r="D53" s="6" t="s">
        <v>550</v>
      </c>
      <c r="E53" s="6" t="s">
        <v>461</v>
      </c>
      <c r="F53" s="6" t="s">
        <v>551</v>
      </c>
      <c r="G53" s="6" t="s">
        <v>93</v>
      </c>
    </row>
    <row r="54" spans="1:7" x14ac:dyDescent="0.25">
      <c r="A54" s="6">
        <v>53</v>
      </c>
      <c r="B54" s="6" t="s">
        <v>31</v>
      </c>
      <c r="C54" s="6" t="s">
        <v>552</v>
      </c>
      <c r="D54" s="6" t="s">
        <v>553</v>
      </c>
      <c r="E54" s="6" t="s">
        <v>450</v>
      </c>
      <c r="F54" s="6" t="s">
        <v>554</v>
      </c>
      <c r="G54" s="6" t="s">
        <v>401</v>
      </c>
    </row>
    <row r="55" spans="1:7" x14ac:dyDescent="0.25">
      <c r="A55" s="6">
        <v>54</v>
      </c>
      <c r="B55" s="6" t="s">
        <v>31</v>
      </c>
      <c r="C55" s="6" t="s">
        <v>555</v>
      </c>
      <c r="D55" s="6" t="s">
        <v>556</v>
      </c>
      <c r="E55" s="6" t="s">
        <v>22</v>
      </c>
      <c r="F55" s="6" t="s">
        <v>557</v>
      </c>
      <c r="G55" s="6" t="s">
        <v>93</v>
      </c>
    </row>
    <row r="56" spans="1:7" x14ac:dyDescent="0.25">
      <c r="A56" s="6">
        <v>55</v>
      </c>
      <c r="B56" s="6" t="s">
        <v>31</v>
      </c>
      <c r="C56" s="6" t="s">
        <v>558</v>
      </c>
      <c r="D56" s="6" t="s">
        <v>559</v>
      </c>
      <c r="E56" s="6" t="s">
        <v>22</v>
      </c>
      <c r="F56" s="6" t="s">
        <v>560</v>
      </c>
      <c r="G56" s="6" t="s">
        <v>93</v>
      </c>
    </row>
    <row r="57" spans="1:7" x14ac:dyDescent="0.25">
      <c r="A57" s="6">
        <v>56</v>
      </c>
      <c r="B57" s="6" t="s">
        <v>31</v>
      </c>
      <c r="C57" s="6" t="s">
        <v>561</v>
      </c>
      <c r="D57" s="6" t="s">
        <v>562</v>
      </c>
      <c r="E57" s="6" t="s">
        <v>22</v>
      </c>
      <c r="F57" s="6" t="s">
        <v>563</v>
      </c>
      <c r="G57" s="6" t="s">
        <v>93</v>
      </c>
    </row>
    <row r="58" spans="1:7" x14ac:dyDescent="0.25">
      <c r="A58" s="6">
        <v>57</v>
      </c>
      <c r="B58" s="6" t="s">
        <v>31</v>
      </c>
      <c r="C58" s="6" t="s">
        <v>564</v>
      </c>
      <c r="D58" s="6" t="s">
        <v>565</v>
      </c>
      <c r="E58" s="6" t="s">
        <v>23</v>
      </c>
      <c r="F58" s="6" t="s">
        <v>566</v>
      </c>
      <c r="G58" s="6" t="s">
        <v>93</v>
      </c>
    </row>
    <row r="59" spans="1:7" x14ac:dyDescent="0.25">
      <c r="A59" s="6">
        <v>58</v>
      </c>
      <c r="B59" s="6" t="s">
        <v>31</v>
      </c>
      <c r="C59" s="6" t="s">
        <v>567</v>
      </c>
      <c r="D59" s="6" t="s">
        <v>568</v>
      </c>
      <c r="E59" s="6" t="s">
        <v>22</v>
      </c>
      <c r="F59" s="6" t="s">
        <v>569</v>
      </c>
      <c r="G59" s="6" t="s">
        <v>93</v>
      </c>
    </row>
    <row r="60" spans="1:7" x14ac:dyDescent="0.25">
      <c r="A60" s="6">
        <v>59</v>
      </c>
      <c r="B60" s="6" t="s">
        <v>31</v>
      </c>
      <c r="C60" s="6" t="s">
        <v>570</v>
      </c>
      <c r="D60" s="6" t="s">
        <v>571</v>
      </c>
      <c r="E60" s="6" t="s">
        <v>25</v>
      </c>
      <c r="F60" s="6" t="s">
        <v>572</v>
      </c>
      <c r="G60" s="6" t="s">
        <v>93</v>
      </c>
    </row>
    <row r="61" spans="1:7" x14ac:dyDescent="0.25">
      <c r="A61" s="6">
        <v>60</v>
      </c>
      <c r="B61" s="6" t="s">
        <v>31</v>
      </c>
      <c r="C61" s="6" t="s">
        <v>573</v>
      </c>
      <c r="D61" s="6" t="s">
        <v>574</v>
      </c>
      <c r="E61" s="6" t="s">
        <v>24</v>
      </c>
      <c r="F61" s="6" t="s">
        <v>575</v>
      </c>
      <c r="G61" s="6" t="s">
        <v>401</v>
      </c>
    </row>
    <row r="62" spans="1:7" x14ac:dyDescent="0.25">
      <c r="A62" s="6">
        <v>61</v>
      </c>
      <c r="B62" s="6" t="s">
        <v>31</v>
      </c>
      <c r="C62" s="6" t="s">
        <v>576</v>
      </c>
      <c r="D62" s="6" t="s">
        <v>577</v>
      </c>
      <c r="E62" s="6" t="s">
        <v>24</v>
      </c>
      <c r="F62" s="6" t="s">
        <v>578</v>
      </c>
      <c r="G62" s="6" t="s">
        <v>401</v>
      </c>
    </row>
    <row r="63" spans="1:7" x14ac:dyDescent="0.25">
      <c r="A63" s="6">
        <v>62</v>
      </c>
      <c r="B63" s="6" t="s">
        <v>31</v>
      </c>
      <c r="C63" s="6" t="s">
        <v>579</v>
      </c>
      <c r="D63" s="6" t="s">
        <v>580</v>
      </c>
      <c r="E63" s="6" t="s">
        <v>22</v>
      </c>
      <c r="F63" s="6" t="s">
        <v>581</v>
      </c>
      <c r="G63" s="6" t="s">
        <v>93</v>
      </c>
    </row>
    <row r="64" spans="1:7" x14ac:dyDescent="0.25">
      <c r="A64" s="6">
        <v>63</v>
      </c>
      <c r="B64" s="6" t="s">
        <v>31</v>
      </c>
      <c r="C64" s="6" t="s">
        <v>582</v>
      </c>
      <c r="D64" s="6" t="s">
        <v>583</v>
      </c>
      <c r="E64" s="6" t="s">
        <v>584</v>
      </c>
      <c r="F64" s="6" t="s">
        <v>585</v>
      </c>
      <c r="G64" s="6" t="s">
        <v>93</v>
      </c>
    </row>
    <row r="65" spans="1:7" x14ac:dyDescent="0.25">
      <c r="A65" s="6">
        <v>64</v>
      </c>
      <c r="B65" s="6" t="s">
        <v>31</v>
      </c>
      <c r="C65" s="6" t="s">
        <v>586</v>
      </c>
      <c r="D65" s="6" t="s">
        <v>587</v>
      </c>
      <c r="E65" s="6" t="s">
        <v>396</v>
      </c>
      <c r="F65" s="6" t="s">
        <v>588</v>
      </c>
      <c r="G65" s="6" t="s">
        <v>93</v>
      </c>
    </row>
    <row r="66" spans="1:7" x14ac:dyDescent="0.25">
      <c r="A66" s="6">
        <v>65</v>
      </c>
      <c r="B66" s="6" t="s">
        <v>31</v>
      </c>
      <c r="C66" s="6" t="s">
        <v>589</v>
      </c>
      <c r="D66" s="6" t="s">
        <v>590</v>
      </c>
      <c r="E66" s="6" t="s">
        <v>445</v>
      </c>
      <c r="F66" s="6" t="s">
        <v>591</v>
      </c>
      <c r="G66" s="6" t="s">
        <v>592</v>
      </c>
    </row>
    <row r="67" spans="1:7" x14ac:dyDescent="0.25">
      <c r="A67" s="6">
        <v>66</v>
      </c>
      <c r="B67" s="6" t="s">
        <v>31</v>
      </c>
      <c r="C67" s="6" t="s">
        <v>593</v>
      </c>
      <c r="D67" s="6" t="s">
        <v>594</v>
      </c>
      <c r="E67" s="6" t="s">
        <v>450</v>
      </c>
      <c r="F67" s="6" t="s">
        <v>595</v>
      </c>
      <c r="G67" s="6" t="s">
        <v>401</v>
      </c>
    </row>
    <row r="68" spans="1:7" x14ac:dyDescent="0.25">
      <c r="A68" s="6">
        <v>67</v>
      </c>
      <c r="B68" s="6" t="s">
        <v>31</v>
      </c>
      <c r="C68" s="6" t="s">
        <v>596</v>
      </c>
      <c r="D68" s="6" t="s">
        <v>597</v>
      </c>
      <c r="E68" s="6" t="s">
        <v>25</v>
      </c>
      <c r="F68" s="6" t="s">
        <v>598</v>
      </c>
      <c r="G68" s="6" t="s">
        <v>93</v>
      </c>
    </row>
    <row r="69" spans="1:7" x14ac:dyDescent="0.25">
      <c r="A69" s="6">
        <v>68</v>
      </c>
      <c r="B69" s="6" t="s">
        <v>31</v>
      </c>
      <c r="C69" s="6" t="s">
        <v>599</v>
      </c>
      <c r="D69" s="6" t="s">
        <v>600</v>
      </c>
      <c r="E69" s="6" t="s">
        <v>450</v>
      </c>
      <c r="F69" s="6" t="s">
        <v>601</v>
      </c>
      <c r="G69" s="6" t="s">
        <v>602</v>
      </c>
    </row>
    <row r="70" spans="1:7" x14ac:dyDescent="0.25">
      <c r="A70" s="6">
        <v>69</v>
      </c>
      <c r="B70" s="6" t="s">
        <v>31</v>
      </c>
      <c r="C70" s="6" t="s">
        <v>603</v>
      </c>
      <c r="D70" s="6" t="s">
        <v>604</v>
      </c>
      <c r="E70" s="6" t="s">
        <v>445</v>
      </c>
      <c r="F70" s="6" t="s">
        <v>605</v>
      </c>
      <c r="G70" s="6" t="s">
        <v>606</v>
      </c>
    </row>
    <row r="71" spans="1:7" x14ac:dyDescent="0.25">
      <c r="A71" s="6">
        <v>70</v>
      </c>
      <c r="B71" s="6" t="s">
        <v>31</v>
      </c>
      <c r="C71" s="6" t="s">
        <v>607</v>
      </c>
      <c r="D71" s="6" t="s">
        <v>608</v>
      </c>
      <c r="E71" s="6" t="s">
        <v>23</v>
      </c>
      <c r="F71" s="6" t="s">
        <v>609</v>
      </c>
      <c r="G71" s="6" t="s">
        <v>93</v>
      </c>
    </row>
    <row r="72" spans="1:7" x14ac:dyDescent="0.25">
      <c r="A72" s="6">
        <v>71</v>
      </c>
      <c r="B72" s="6" t="s">
        <v>31</v>
      </c>
      <c r="C72" s="6" t="s">
        <v>610</v>
      </c>
      <c r="D72" s="6" t="s">
        <v>611</v>
      </c>
      <c r="E72" s="6" t="s">
        <v>450</v>
      </c>
      <c r="F72" s="6" t="s">
        <v>612</v>
      </c>
      <c r="G72" s="6" t="s">
        <v>613</v>
      </c>
    </row>
    <row r="73" spans="1:7" x14ac:dyDescent="0.25">
      <c r="A73" s="6">
        <v>72</v>
      </c>
      <c r="B73" s="6" t="s">
        <v>31</v>
      </c>
      <c r="C73" s="6" t="s">
        <v>614</v>
      </c>
      <c r="D73" s="6" t="s">
        <v>615</v>
      </c>
      <c r="E73" s="6" t="s">
        <v>23</v>
      </c>
      <c r="F73" s="6" t="s">
        <v>616</v>
      </c>
      <c r="G73" s="6" t="s">
        <v>93</v>
      </c>
    </row>
    <row r="74" spans="1:7" x14ac:dyDescent="0.25">
      <c r="A74" s="6">
        <v>73</v>
      </c>
      <c r="B74" s="6" t="s">
        <v>31</v>
      </c>
      <c r="C74" s="6" t="s">
        <v>617</v>
      </c>
      <c r="D74" s="6" t="s">
        <v>618</v>
      </c>
      <c r="E74" s="6" t="s">
        <v>22</v>
      </c>
      <c r="F74" s="6" t="s">
        <v>619</v>
      </c>
      <c r="G74" s="6" t="s">
        <v>93</v>
      </c>
    </row>
    <row r="75" spans="1:7" x14ac:dyDescent="0.25">
      <c r="A75" s="6">
        <v>74</v>
      </c>
      <c r="B75" s="6" t="s">
        <v>31</v>
      </c>
      <c r="C75" s="6" t="s">
        <v>620</v>
      </c>
      <c r="D75" s="6" t="s">
        <v>621</v>
      </c>
      <c r="E75" s="6" t="s">
        <v>622</v>
      </c>
      <c r="F75" s="6" t="s">
        <v>623</v>
      </c>
      <c r="G75" s="6" t="s">
        <v>401</v>
      </c>
    </row>
    <row r="76" spans="1:7" x14ac:dyDescent="0.25">
      <c r="A76" s="6">
        <v>75</v>
      </c>
      <c r="B76" s="6" t="s">
        <v>31</v>
      </c>
      <c r="C76" s="6" t="s">
        <v>624</v>
      </c>
      <c r="D76" s="6" t="s">
        <v>625</v>
      </c>
      <c r="E76" s="6" t="s">
        <v>417</v>
      </c>
      <c r="F76" s="6" t="s">
        <v>626</v>
      </c>
      <c r="G76" s="6" t="s">
        <v>401</v>
      </c>
    </row>
    <row r="77" spans="1:7" x14ac:dyDescent="0.25">
      <c r="A77" s="6">
        <v>76</v>
      </c>
      <c r="B77" s="6" t="s">
        <v>31</v>
      </c>
      <c r="C77" s="6" t="s">
        <v>627</v>
      </c>
      <c r="D77" s="6" t="s">
        <v>628</v>
      </c>
      <c r="E77" s="6" t="s">
        <v>22</v>
      </c>
      <c r="F77" s="6" t="s">
        <v>629</v>
      </c>
      <c r="G77" s="6" t="s">
        <v>93</v>
      </c>
    </row>
    <row r="78" spans="1:7" x14ac:dyDescent="0.25">
      <c r="A78" s="6">
        <v>77</v>
      </c>
      <c r="B78" s="6" t="s">
        <v>31</v>
      </c>
      <c r="C78" s="6" t="s">
        <v>630</v>
      </c>
      <c r="D78" s="6" t="s">
        <v>631</v>
      </c>
      <c r="E78" s="6" t="s">
        <v>450</v>
      </c>
      <c r="F78" s="6" t="s">
        <v>632</v>
      </c>
      <c r="G78" s="6" t="s">
        <v>401</v>
      </c>
    </row>
    <row r="79" spans="1:7" x14ac:dyDescent="0.25">
      <c r="A79" s="6">
        <v>78</v>
      </c>
      <c r="B79" s="6" t="s">
        <v>31</v>
      </c>
      <c r="C79" s="6" t="s">
        <v>633</v>
      </c>
      <c r="D79" s="6" t="s">
        <v>634</v>
      </c>
      <c r="E79" s="6" t="s">
        <v>24</v>
      </c>
      <c r="F79" s="6" t="s">
        <v>635</v>
      </c>
      <c r="G79" s="6" t="s">
        <v>636</v>
      </c>
    </row>
    <row r="80" spans="1:7" x14ac:dyDescent="0.25">
      <c r="A80" s="6">
        <v>79</v>
      </c>
      <c r="B80" s="6" t="s">
        <v>31</v>
      </c>
      <c r="C80" s="6" t="s">
        <v>637</v>
      </c>
      <c r="D80" s="6" t="s">
        <v>638</v>
      </c>
      <c r="E80" s="6" t="s">
        <v>24</v>
      </c>
      <c r="F80" s="6" t="s">
        <v>639</v>
      </c>
      <c r="G80" s="6" t="s">
        <v>401</v>
      </c>
    </row>
    <row r="81" spans="1:7" x14ac:dyDescent="0.25">
      <c r="A81" s="6">
        <v>80</v>
      </c>
      <c r="B81" s="6" t="s">
        <v>31</v>
      </c>
      <c r="C81" s="6" t="s">
        <v>640</v>
      </c>
      <c r="D81" s="6" t="s">
        <v>641</v>
      </c>
      <c r="E81" s="6" t="s">
        <v>396</v>
      </c>
      <c r="F81" s="6" t="s">
        <v>642</v>
      </c>
      <c r="G81" s="6" t="s">
        <v>93</v>
      </c>
    </row>
    <row r="82" spans="1:7" x14ac:dyDescent="0.25">
      <c r="A82" s="6">
        <v>81</v>
      </c>
      <c r="B82" s="6" t="s">
        <v>31</v>
      </c>
      <c r="C82" s="6" t="s">
        <v>643</v>
      </c>
      <c r="D82" s="6" t="s">
        <v>644</v>
      </c>
      <c r="E82" s="6" t="s">
        <v>22</v>
      </c>
      <c r="F82" s="6" t="s">
        <v>645</v>
      </c>
      <c r="G82" s="6" t="s">
        <v>93</v>
      </c>
    </row>
    <row r="83" spans="1:7" x14ac:dyDescent="0.25">
      <c r="A83" s="6">
        <v>82</v>
      </c>
      <c r="B83" s="6" t="s">
        <v>31</v>
      </c>
      <c r="C83" s="6" t="s">
        <v>646</v>
      </c>
      <c r="D83" s="6" t="s">
        <v>647</v>
      </c>
      <c r="E83" s="6" t="s">
        <v>622</v>
      </c>
      <c r="F83" s="6" t="s">
        <v>648</v>
      </c>
      <c r="G83" s="6" t="s">
        <v>401</v>
      </c>
    </row>
    <row r="84" spans="1:7" x14ac:dyDescent="0.25">
      <c r="A84" s="6">
        <v>83</v>
      </c>
      <c r="B84" s="6" t="s">
        <v>31</v>
      </c>
      <c r="C84" s="6" t="s">
        <v>649</v>
      </c>
      <c r="D84" s="6" t="s">
        <v>650</v>
      </c>
      <c r="E84" s="6" t="s">
        <v>25</v>
      </c>
      <c r="F84" s="6" t="s">
        <v>651</v>
      </c>
      <c r="G84" s="6" t="s">
        <v>93</v>
      </c>
    </row>
    <row r="85" spans="1:7" x14ac:dyDescent="0.25">
      <c r="A85" s="6">
        <v>84</v>
      </c>
      <c r="B85" s="6" t="s">
        <v>31</v>
      </c>
      <c r="C85" s="6" t="s">
        <v>652</v>
      </c>
      <c r="D85" s="6" t="s">
        <v>653</v>
      </c>
      <c r="E85" s="6" t="s">
        <v>445</v>
      </c>
      <c r="F85" s="6" t="s">
        <v>654</v>
      </c>
      <c r="G85" s="6" t="s">
        <v>655</v>
      </c>
    </row>
    <row r="86" spans="1:7" x14ac:dyDescent="0.25">
      <c r="A86" s="6">
        <v>85</v>
      </c>
      <c r="B86" s="6" t="s">
        <v>31</v>
      </c>
      <c r="C86" s="6" t="s">
        <v>656</v>
      </c>
      <c r="D86" s="6" t="s">
        <v>657</v>
      </c>
      <c r="E86" s="6" t="s">
        <v>22</v>
      </c>
      <c r="F86" s="6" t="s">
        <v>658</v>
      </c>
      <c r="G86" s="6" t="s">
        <v>93</v>
      </c>
    </row>
    <row r="87" spans="1:7" x14ac:dyDescent="0.25">
      <c r="A87" s="6">
        <v>86</v>
      </c>
      <c r="B87" s="6" t="s">
        <v>31</v>
      </c>
      <c r="C87" s="6" t="s">
        <v>659</v>
      </c>
      <c r="D87" s="6" t="s">
        <v>660</v>
      </c>
      <c r="E87" s="6" t="s">
        <v>25</v>
      </c>
      <c r="F87" s="6" t="s">
        <v>661</v>
      </c>
      <c r="G87" s="6" t="s">
        <v>93</v>
      </c>
    </row>
    <row r="88" spans="1:7" x14ac:dyDescent="0.25">
      <c r="A88" s="6">
        <v>87</v>
      </c>
      <c r="B88" s="6" t="s">
        <v>31</v>
      </c>
      <c r="C88" s="6" t="s">
        <v>662</v>
      </c>
      <c r="D88" s="6" t="s">
        <v>663</v>
      </c>
      <c r="E88" s="6" t="s">
        <v>461</v>
      </c>
      <c r="F88" s="6" t="s">
        <v>664</v>
      </c>
      <c r="G88" s="6" t="s">
        <v>93</v>
      </c>
    </row>
    <row r="89" spans="1:7" x14ac:dyDescent="0.25">
      <c r="A89" s="6">
        <v>88</v>
      </c>
      <c r="B89" s="6" t="s">
        <v>31</v>
      </c>
      <c r="C89" s="6" t="s">
        <v>665</v>
      </c>
      <c r="D89" s="6" t="s">
        <v>666</v>
      </c>
      <c r="E89" s="6" t="s">
        <v>24</v>
      </c>
      <c r="F89" s="6" t="s">
        <v>667</v>
      </c>
      <c r="G89" s="6" t="s">
        <v>668</v>
      </c>
    </row>
    <row r="90" spans="1:7" x14ac:dyDescent="0.25">
      <c r="A90" s="6">
        <v>89</v>
      </c>
      <c r="B90" s="6" t="s">
        <v>31</v>
      </c>
      <c r="C90" s="6" t="s">
        <v>669</v>
      </c>
      <c r="D90" s="6" t="s">
        <v>670</v>
      </c>
      <c r="E90" s="6" t="s">
        <v>23</v>
      </c>
      <c r="F90" s="6" t="s">
        <v>671</v>
      </c>
      <c r="G90" s="6" t="s">
        <v>93</v>
      </c>
    </row>
    <row r="91" spans="1:7" x14ac:dyDescent="0.25">
      <c r="A91" s="6">
        <v>90</v>
      </c>
      <c r="B91" s="6" t="s">
        <v>31</v>
      </c>
      <c r="C91" s="6" t="s">
        <v>672</v>
      </c>
      <c r="D91" s="6" t="s">
        <v>673</v>
      </c>
      <c r="E91" s="6" t="s">
        <v>674</v>
      </c>
      <c r="F91" s="6" t="s">
        <v>675</v>
      </c>
      <c r="G91" s="6" t="s">
        <v>676</v>
      </c>
    </row>
    <row r="92" spans="1:7" x14ac:dyDescent="0.25">
      <c r="A92" s="6">
        <v>91</v>
      </c>
      <c r="B92" s="6" t="s">
        <v>31</v>
      </c>
      <c r="C92" s="6" t="s">
        <v>677</v>
      </c>
      <c r="D92" s="6" t="s">
        <v>678</v>
      </c>
      <c r="E92" s="6" t="s">
        <v>404</v>
      </c>
      <c r="F92" s="6" t="s">
        <v>679</v>
      </c>
      <c r="G92" s="6" t="s">
        <v>93</v>
      </c>
    </row>
    <row r="93" spans="1:7" x14ac:dyDescent="0.25">
      <c r="A93" s="6">
        <v>92</v>
      </c>
      <c r="B93" s="6" t="s">
        <v>31</v>
      </c>
      <c r="C93" s="6" t="s">
        <v>680</v>
      </c>
      <c r="D93" s="6" t="s">
        <v>681</v>
      </c>
      <c r="E93" s="6" t="s">
        <v>24</v>
      </c>
      <c r="F93" s="6" t="s">
        <v>682</v>
      </c>
      <c r="G93" s="6" t="s">
        <v>683</v>
      </c>
    </row>
    <row r="94" spans="1:7" x14ac:dyDescent="0.25">
      <c r="A94" s="6">
        <v>93</v>
      </c>
      <c r="B94" s="6" t="s">
        <v>31</v>
      </c>
      <c r="C94" s="6" t="s">
        <v>684</v>
      </c>
      <c r="D94" s="6" t="s">
        <v>685</v>
      </c>
      <c r="E94" s="6" t="s">
        <v>674</v>
      </c>
      <c r="F94" s="6" t="s">
        <v>686</v>
      </c>
      <c r="G94" s="6" t="s">
        <v>687</v>
      </c>
    </row>
    <row r="95" spans="1:7" x14ac:dyDescent="0.25">
      <c r="A95" s="6">
        <v>94</v>
      </c>
      <c r="B95" s="6" t="s">
        <v>31</v>
      </c>
      <c r="C95" s="6" t="s">
        <v>688</v>
      </c>
      <c r="D95" s="6" t="s">
        <v>689</v>
      </c>
      <c r="E95" s="6" t="s">
        <v>24</v>
      </c>
      <c r="F95" s="6" t="s">
        <v>690</v>
      </c>
      <c r="G95" s="6" t="s">
        <v>691</v>
      </c>
    </row>
    <row r="96" spans="1:7" x14ac:dyDescent="0.25">
      <c r="A96" s="6">
        <v>95</v>
      </c>
      <c r="B96" s="6" t="s">
        <v>31</v>
      </c>
      <c r="C96" s="6" t="s">
        <v>692</v>
      </c>
      <c r="D96" s="6" t="s">
        <v>693</v>
      </c>
      <c r="E96" s="6" t="s">
        <v>23</v>
      </c>
      <c r="F96" s="6" t="s">
        <v>694</v>
      </c>
      <c r="G96" s="6" t="s">
        <v>93</v>
      </c>
    </row>
    <row r="97" spans="1:7" x14ac:dyDescent="0.25">
      <c r="A97" s="6">
        <v>96</v>
      </c>
      <c r="B97" s="6" t="s">
        <v>31</v>
      </c>
      <c r="C97" s="6" t="s">
        <v>695</v>
      </c>
      <c r="D97" s="6" t="s">
        <v>696</v>
      </c>
      <c r="E97" s="6" t="s">
        <v>461</v>
      </c>
      <c r="F97" s="6" t="s">
        <v>697</v>
      </c>
      <c r="G97" s="6" t="s">
        <v>93</v>
      </c>
    </row>
    <row r="98" spans="1:7" x14ac:dyDescent="0.25">
      <c r="A98" s="6">
        <v>97</v>
      </c>
      <c r="B98" s="6" t="s">
        <v>31</v>
      </c>
      <c r="C98" s="6" t="s">
        <v>698</v>
      </c>
      <c r="D98" s="6" t="s">
        <v>699</v>
      </c>
      <c r="E98" s="6" t="s">
        <v>674</v>
      </c>
      <c r="F98" s="6" t="s">
        <v>700</v>
      </c>
      <c r="G98" s="6" t="s">
        <v>701</v>
      </c>
    </row>
    <row r="99" spans="1:7" x14ac:dyDescent="0.25">
      <c r="A99" s="6">
        <v>98</v>
      </c>
      <c r="B99" s="6" t="s">
        <v>31</v>
      </c>
      <c r="C99" s="6" t="s">
        <v>702</v>
      </c>
      <c r="D99" s="6" t="s">
        <v>703</v>
      </c>
      <c r="E99" s="6" t="s">
        <v>24</v>
      </c>
      <c r="F99" s="6" t="s">
        <v>704</v>
      </c>
      <c r="G99" s="6" t="s">
        <v>705</v>
      </c>
    </row>
    <row r="100" spans="1:7" x14ac:dyDescent="0.25">
      <c r="A100" s="6">
        <v>99</v>
      </c>
      <c r="B100" s="6" t="s">
        <v>31</v>
      </c>
      <c r="C100" s="6" t="s">
        <v>706</v>
      </c>
      <c r="D100" s="6" t="s">
        <v>707</v>
      </c>
      <c r="E100" s="6" t="s">
        <v>674</v>
      </c>
      <c r="F100" s="6" t="s">
        <v>708</v>
      </c>
      <c r="G100" s="6" t="s">
        <v>709</v>
      </c>
    </row>
    <row r="101" spans="1:7" x14ac:dyDescent="0.25">
      <c r="A101" s="6">
        <v>100</v>
      </c>
      <c r="B101" s="6" t="s">
        <v>31</v>
      </c>
      <c r="C101" s="6" t="s">
        <v>710</v>
      </c>
      <c r="D101" s="6" t="s">
        <v>711</v>
      </c>
      <c r="E101" s="6" t="s">
        <v>584</v>
      </c>
      <c r="F101" s="6" t="s">
        <v>712</v>
      </c>
      <c r="G101" s="6" t="s">
        <v>93</v>
      </c>
    </row>
    <row r="102" spans="1:7" x14ac:dyDescent="0.25">
      <c r="A102" s="6">
        <v>101</v>
      </c>
      <c r="B102" s="6" t="s">
        <v>31</v>
      </c>
      <c r="C102" s="6" t="s">
        <v>713</v>
      </c>
      <c r="D102" s="6" t="s">
        <v>714</v>
      </c>
      <c r="E102" s="6" t="s">
        <v>584</v>
      </c>
      <c r="F102" s="6" t="s">
        <v>715</v>
      </c>
      <c r="G102" s="6" t="s">
        <v>93</v>
      </c>
    </row>
    <row r="103" spans="1:7" x14ac:dyDescent="0.25">
      <c r="A103" s="6">
        <v>102</v>
      </c>
      <c r="B103" s="6" t="s">
        <v>31</v>
      </c>
      <c r="C103" s="6" t="s">
        <v>716</v>
      </c>
      <c r="D103" s="6" t="s">
        <v>717</v>
      </c>
      <c r="E103" s="6" t="s">
        <v>584</v>
      </c>
      <c r="F103" s="6" t="s">
        <v>718</v>
      </c>
      <c r="G103" s="6" t="s">
        <v>93</v>
      </c>
    </row>
    <row r="104" spans="1:7" x14ac:dyDescent="0.25">
      <c r="A104" s="6">
        <v>103</v>
      </c>
      <c r="B104" s="6" t="s">
        <v>31</v>
      </c>
      <c r="C104" s="6" t="s">
        <v>719</v>
      </c>
      <c r="D104" s="6" t="s">
        <v>720</v>
      </c>
      <c r="E104" s="6" t="s">
        <v>24</v>
      </c>
      <c r="F104" s="6" t="s">
        <v>721</v>
      </c>
      <c r="G104" s="6" t="s">
        <v>722</v>
      </c>
    </row>
    <row r="105" spans="1:7" x14ac:dyDescent="0.25">
      <c r="A105" s="6">
        <v>104</v>
      </c>
      <c r="B105" s="6" t="s">
        <v>31</v>
      </c>
      <c r="C105" s="6" t="s">
        <v>723</v>
      </c>
      <c r="D105" s="6" t="s">
        <v>724</v>
      </c>
      <c r="E105" s="6" t="s">
        <v>622</v>
      </c>
      <c r="F105" s="6" t="s">
        <v>725</v>
      </c>
      <c r="G105" s="6" t="s">
        <v>726</v>
      </c>
    </row>
    <row r="106" spans="1:7" x14ac:dyDescent="0.25">
      <c r="A106" s="6">
        <v>105</v>
      </c>
      <c r="B106" s="6" t="s">
        <v>31</v>
      </c>
      <c r="C106" s="6" t="s">
        <v>727</v>
      </c>
      <c r="D106" s="6" t="s">
        <v>728</v>
      </c>
      <c r="E106" s="6" t="s">
        <v>404</v>
      </c>
      <c r="F106" s="6" t="s">
        <v>729</v>
      </c>
      <c r="G106" s="6" t="s">
        <v>93</v>
      </c>
    </row>
    <row r="107" spans="1:7" x14ac:dyDescent="0.25">
      <c r="A107" s="6">
        <v>106</v>
      </c>
      <c r="B107" s="6" t="s">
        <v>31</v>
      </c>
      <c r="C107" s="6" t="s">
        <v>730</v>
      </c>
      <c r="D107" s="6" t="s">
        <v>731</v>
      </c>
      <c r="E107" s="6" t="s">
        <v>23</v>
      </c>
      <c r="F107" s="6" t="s">
        <v>732</v>
      </c>
      <c r="G107" s="6" t="s">
        <v>93</v>
      </c>
    </row>
    <row r="108" spans="1:7" x14ac:dyDescent="0.25">
      <c r="A108" s="6">
        <v>107</v>
      </c>
      <c r="B108" s="6" t="s">
        <v>31</v>
      </c>
      <c r="C108" s="6" t="s">
        <v>733</v>
      </c>
      <c r="D108" s="6" t="s">
        <v>734</v>
      </c>
      <c r="E108" s="6" t="s">
        <v>24</v>
      </c>
      <c r="F108" s="6" t="s">
        <v>735</v>
      </c>
      <c r="G108" s="6" t="s">
        <v>722</v>
      </c>
    </row>
    <row r="109" spans="1:7" x14ac:dyDescent="0.25">
      <c r="A109" s="6">
        <v>108</v>
      </c>
      <c r="B109" s="6" t="s">
        <v>31</v>
      </c>
      <c r="C109" s="6" t="s">
        <v>736</v>
      </c>
      <c r="D109" s="6" t="s">
        <v>737</v>
      </c>
      <c r="E109" s="6" t="s">
        <v>404</v>
      </c>
      <c r="F109" s="6" t="s">
        <v>738</v>
      </c>
      <c r="G109" s="6" t="s">
        <v>93</v>
      </c>
    </row>
    <row r="110" spans="1:7" x14ac:dyDescent="0.25">
      <c r="A110" s="6">
        <v>109</v>
      </c>
      <c r="B110" s="6" t="s">
        <v>31</v>
      </c>
      <c r="C110" s="6" t="s">
        <v>739</v>
      </c>
      <c r="D110" s="6" t="s">
        <v>740</v>
      </c>
      <c r="E110" s="6" t="s">
        <v>741</v>
      </c>
      <c r="F110" s="6" t="s">
        <v>742</v>
      </c>
      <c r="G110" s="6" t="s">
        <v>743</v>
      </c>
    </row>
    <row r="111" spans="1:7" x14ac:dyDescent="0.25">
      <c r="A111" s="6">
        <v>110</v>
      </c>
      <c r="B111" s="6" t="s">
        <v>31</v>
      </c>
      <c r="C111" s="6" t="s">
        <v>744</v>
      </c>
      <c r="D111" s="6" t="s">
        <v>745</v>
      </c>
      <c r="E111" s="6" t="s">
        <v>584</v>
      </c>
      <c r="F111" s="6" t="s">
        <v>746</v>
      </c>
      <c r="G111" s="6" t="s">
        <v>93</v>
      </c>
    </row>
    <row r="112" spans="1:7" x14ac:dyDescent="0.25">
      <c r="A112" s="6">
        <v>111</v>
      </c>
      <c r="B112" s="6" t="s">
        <v>31</v>
      </c>
      <c r="C112" s="6" t="s">
        <v>747</v>
      </c>
      <c r="D112" s="6" t="s">
        <v>748</v>
      </c>
      <c r="E112" s="6" t="s">
        <v>404</v>
      </c>
      <c r="F112" s="6" t="s">
        <v>749</v>
      </c>
      <c r="G112" s="6" t="s">
        <v>93</v>
      </c>
    </row>
    <row r="113" spans="1:7" x14ac:dyDescent="0.25">
      <c r="A113" s="6">
        <v>112</v>
      </c>
      <c r="B113" s="6" t="s">
        <v>31</v>
      </c>
      <c r="C113" s="6" t="s">
        <v>750</v>
      </c>
      <c r="D113" s="6" t="s">
        <v>751</v>
      </c>
      <c r="E113" s="6" t="s">
        <v>23</v>
      </c>
      <c r="F113" s="6" t="s">
        <v>752</v>
      </c>
      <c r="G113" s="6" t="s">
        <v>93</v>
      </c>
    </row>
    <row r="114" spans="1:7" x14ac:dyDescent="0.25">
      <c r="A114" s="6">
        <v>113</v>
      </c>
      <c r="B114" s="6" t="s">
        <v>31</v>
      </c>
      <c r="C114" s="6" t="s">
        <v>753</v>
      </c>
      <c r="D114" s="6" t="s">
        <v>754</v>
      </c>
      <c r="E114" s="6" t="s">
        <v>24</v>
      </c>
      <c r="F114" s="6" t="s">
        <v>755</v>
      </c>
      <c r="G114" s="6" t="s">
        <v>756</v>
      </c>
    </row>
    <row r="115" spans="1:7" x14ac:dyDescent="0.25">
      <c r="A115" s="6">
        <v>114</v>
      </c>
      <c r="B115" s="6" t="s">
        <v>31</v>
      </c>
      <c r="C115" s="6" t="s">
        <v>757</v>
      </c>
      <c r="D115" s="6" t="s">
        <v>758</v>
      </c>
      <c r="E115" s="6" t="s">
        <v>622</v>
      </c>
      <c r="F115" s="6" t="s">
        <v>759</v>
      </c>
      <c r="G115" s="6" t="s">
        <v>760</v>
      </c>
    </row>
    <row r="116" spans="1:7" x14ac:dyDescent="0.25">
      <c r="A116" s="6">
        <v>115</v>
      </c>
      <c r="B116" s="6" t="s">
        <v>31</v>
      </c>
      <c r="C116" s="6" t="s">
        <v>761</v>
      </c>
      <c r="D116" s="6" t="s">
        <v>762</v>
      </c>
      <c r="E116" s="6" t="s">
        <v>622</v>
      </c>
      <c r="F116" s="6" t="s">
        <v>763</v>
      </c>
      <c r="G116" s="6" t="s">
        <v>764</v>
      </c>
    </row>
    <row r="117" spans="1:7" x14ac:dyDescent="0.25">
      <c r="A117" s="6">
        <v>116</v>
      </c>
      <c r="B117" s="6" t="s">
        <v>31</v>
      </c>
      <c r="C117" s="6" t="s">
        <v>765</v>
      </c>
      <c r="D117" s="6" t="s">
        <v>766</v>
      </c>
      <c r="E117" s="6" t="s">
        <v>24</v>
      </c>
      <c r="F117" s="6" t="s">
        <v>767</v>
      </c>
      <c r="G117" s="6" t="s">
        <v>768</v>
      </c>
    </row>
    <row r="118" spans="1:7" x14ac:dyDescent="0.25">
      <c r="A118" s="6">
        <v>117</v>
      </c>
      <c r="B118" s="6" t="s">
        <v>31</v>
      </c>
      <c r="C118" s="6" t="s">
        <v>769</v>
      </c>
      <c r="D118" s="6" t="s">
        <v>770</v>
      </c>
      <c r="E118" s="6" t="s">
        <v>445</v>
      </c>
      <c r="F118" s="6" t="s">
        <v>771</v>
      </c>
      <c r="G118" s="6" t="s">
        <v>772</v>
      </c>
    </row>
    <row r="119" spans="1:7" x14ac:dyDescent="0.25">
      <c r="A119" s="6">
        <v>118</v>
      </c>
      <c r="B119" s="6" t="s">
        <v>31</v>
      </c>
      <c r="C119" s="6" t="s">
        <v>773</v>
      </c>
      <c r="D119" s="6" t="s">
        <v>774</v>
      </c>
      <c r="E119" s="6" t="s">
        <v>674</v>
      </c>
      <c r="F119" s="6" t="s">
        <v>775</v>
      </c>
      <c r="G119" s="6" t="s">
        <v>776</v>
      </c>
    </row>
    <row r="120" spans="1:7" x14ac:dyDescent="0.25">
      <c r="A120" s="6">
        <v>119</v>
      </c>
      <c r="B120" s="6" t="s">
        <v>31</v>
      </c>
      <c r="C120" s="6" t="s">
        <v>777</v>
      </c>
      <c r="D120" s="6" t="s">
        <v>778</v>
      </c>
      <c r="E120" s="6" t="s">
        <v>23</v>
      </c>
      <c r="F120" s="6" t="s">
        <v>779</v>
      </c>
      <c r="G120" s="6" t="s">
        <v>93</v>
      </c>
    </row>
    <row r="121" spans="1:7" x14ac:dyDescent="0.25">
      <c r="A121" s="6">
        <v>120</v>
      </c>
      <c r="B121" s="6" t="s">
        <v>31</v>
      </c>
      <c r="C121" s="6" t="s">
        <v>780</v>
      </c>
      <c r="D121" s="6" t="s">
        <v>781</v>
      </c>
      <c r="E121" s="6" t="s">
        <v>674</v>
      </c>
      <c r="F121" s="6" t="s">
        <v>782</v>
      </c>
      <c r="G121" s="6" t="s">
        <v>743</v>
      </c>
    </row>
    <row r="122" spans="1:7" x14ac:dyDescent="0.25">
      <c r="A122" s="6">
        <v>121</v>
      </c>
      <c r="B122" s="6" t="s">
        <v>31</v>
      </c>
      <c r="C122" s="6" t="s">
        <v>783</v>
      </c>
      <c r="D122" s="6" t="s">
        <v>784</v>
      </c>
      <c r="E122" s="6" t="s">
        <v>445</v>
      </c>
      <c r="F122" s="6" t="s">
        <v>785</v>
      </c>
      <c r="G122" s="6" t="s">
        <v>743</v>
      </c>
    </row>
    <row r="123" spans="1:7" x14ac:dyDescent="0.25">
      <c r="A123" s="6">
        <v>122</v>
      </c>
      <c r="B123" s="6" t="s">
        <v>31</v>
      </c>
      <c r="C123" s="6" t="s">
        <v>786</v>
      </c>
      <c r="D123" s="6" t="s">
        <v>787</v>
      </c>
      <c r="E123" s="6" t="s">
        <v>622</v>
      </c>
      <c r="F123" s="6" t="s">
        <v>788</v>
      </c>
      <c r="G123" s="6" t="s">
        <v>789</v>
      </c>
    </row>
    <row r="124" spans="1:7" x14ac:dyDescent="0.25">
      <c r="A124" s="6">
        <v>123</v>
      </c>
      <c r="B124" s="6" t="s">
        <v>31</v>
      </c>
      <c r="C124" s="6" t="s">
        <v>790</v>
      </c>
      <c r="D124" s="6" t="s">
        <v>791</v>
      </c>
      <c r="E124" s="6" t="s">
        <v>622</v>
      </c>
      <c r="F124" s="6" t="s">
        <v>792</v>
      </c>
      <c r="G124" s="6" t="s">
        <v>793</v>
      </c>
    </row>
    <row r="125" spans="1:7" x14ac:dyDescent="0.25">
      <c r="A125" s="6">
        <v>124</v>
      </c>
      <c r="B125" s="6" t="s">
        <v>31</v>
      </c>
      <c r="C125" s="6" t="s">
        <v>794</v>
      </c>
      <c r="D125" s="6" t="s">
        <v>795</v>
      </c>
      <c r="E125" s="6" t="s">
        <v>674</v>
      </c>
      <c r="F125" s="6" t="s">
        <v>796</v>
      </c>
      <c r="G125" s="6" t="s">
        <v>789</v>
      </c>
    </row>
    <row r="126" spans="1:7" x14ac:dyDescent="0.25">
      <c r="A126" s="6">
        <v>125</v>
      </c>
      <c r="B126" s="6" t="s">
        <v>31</v>
      </c>
      <c r="C126" s="6" t="s">
        <v>797</v>
      </c>
      <c r="D126" s="6" t="s">
        <v>798</v>
      </c>
      <c r="E126" s="6" t="s">
        <v>404</v>
      </c>
      <c r="F126" s="6" t="s">
        <v>799</v>
      </c>
      <c r="G126" s="6" t="s">
        <v>93</v>
      </c>
    </row>
    <row r="127" spans="1:7" x14ac:dyDescent="0.25">
      <c r="A127" s="6">
        <v>126</v>
      </c>
      <c r="B127" s="6" t="s">
        <v>31</v>
      </c>
      <c r="C127" s="6" t="s">
        <v>800</v>
      </c>
      <c r="D127" s="6" t="s">
        <v>801</v>
      </c>
      <c r="E127" s="6" t="s">
        <v>25</v>
      </c>
      <c r="F127" s="6" t="s">
        <v>802</v>
      </c>
      <c r="G127" s="6" t="s">
        <v>93</v>
      </c>
    </row>
    <row r="128" spans="1:7" x14ac:dyDescent="0.25">
      <c r="A128" s="6">
        <v>127</v>
      </c>
      <c r="B128" s="6" t="s">
        <v>31</v>
      </c>
      <c r="C128" s="6" t="s">
        <v>803</v>
      </c>
      <c r="D128" s="6" t="s">
        <v>804</v>
      </c>
      <c r="E128" s="6" t="s">
        <v>23</v>
      </c>
      <c r="F128" s="6" t="s">
        <v>805</v>
      </c>
      <c r="G128" s="6" t="s">
        <v>93</v>
      </c>
    </row>
    <row r="129" spans="1:7" x14ac:dyDescent="0.25">
      <c r="A129" s="6">
        <v>128</v>
      </c>
      <c r="B129" s="6" t="s">
        <v>31</v>
      </c>
      <c r="C129" s="6" t="s">
        <v>806</v>
      </c>
      <c r="D129" s="6" t="s">
        <v>807</v>
      </c>
      <c r="E129" s="6" t="s">
        <v>584</v>
      </c>
      <c r="F129" s="6" t="s">
        <v>808</v>
      </c>
      <c r="G129" s="6" t="s">
        <v>93</v>
      </c>
    </row>
    <row r="130" spans="1:7" x14ac:dyDescent="0.25">
      <c r="A130" s="6">
        <v>129</v>
      </c>
      <c r="B130" s="6" t="s">
        <v>31</v>
      </c>
      <c r="C130" s="6" t="s">
        <v>809</v>
      </c>
      <c r="D130" s="6" t="s">
        <v>810</v>
      </c>
      <c r="E130" s="6" t="s">
        <v>23</v>
      </c>
      <c r="F130" s="6" t="s">
        <v>811</v>
      </c>
      <c r="G130" s="6" t="s">
        <v>93</v>
      </c>
    </row>
    <row r="131" spans="1:7" x14ac:dyDescent="0.25">
      <c r="A131" s="6">
        <v>130</v>
      </c>
      <c r="B131" s="6" t="s">
        <v>31</v>
      </c>
      <c r="C131" s="6" t="s">
        <v>812</v>
      </c>
      <c r="D131" s="6" t="s">
        <v>813</v>
      </c>
      <c r="E131" s="6" t="s">
        <v>24</v>
      </c>
      <c r="F131" s="6" t="s">
        <v>814</v>
      </c>
      <c r="G131" s="6" t="s">
        <v>709</v>
      </c>
    </row>
    <row r="132" spans="1:7" x14ac:dyDescent="0.25">
      <c r="A132" s="6">
        <v>131</v>
      </c>
      <c r="B132" s="6" t="s">
        <v>31</v>
      </c>
      <c r="C132" s="6" t="s">
        <v>815</v>
      </c>
      <c r="D132" s="6" t="s">
        <v>816</v>
      </c>
      <c r="E132" s="6" t="s">
        <v>445</v>
      </c>
      <c r="F132" s="6" t="s">
        <v>817</v>
      </c>
      <c r="G132" s="6" t="s">
        <v>818</v>
      </c>
    </row>
    <row r="133" spans="1:7" x14ac:dyDescent="0.25">
      <c r="A133" s="6">
        <v>132</v>
      </c>
      <c r="B133" s="6" t="s">
        <v>31</v>
      </c>
      <c r="C133" s="6" t="s">
        <v>819</v>
      </c>
      <c r="D133" s="6" t="s">
        <v>820</v>
      </c>
      <c r="E133" s="6" t="s">
        <v>584</v>
      </c>
      <c r="F133" s="6" t="s">
        <v>821</v>
      </c>
      <c r="G133" s="6" t="s">
        <v>93</v>
      </c>
    </row>
    <row r="134" spans="1:7" x14ac:dyDescent="0.25">
      <c r="A134" s="6">
        <v>133</v>
      </c>
      <c r="B134" s="6" t="s">
        <v>31</v>
      </c>
      <c r="C134" s="6" t="s">
        <v>822</v>
      </c>
      <c r="D134" s="6" t="s">
        <v>823</v>
      </c>
      <c r="E134" s="6" t="s">
        <v>622</v>
      </c>
      <c r="F134" s="6" t="s">
        <v>824</v>
      </c>
      <c r="G134" s="6" t="s">
        <v>825</v>
      </c>
    </row>
    <row r="135" spans="1:7" x14ac:dyDescent="0.25">
      <c r="A135" s="6">
        <v>134</v>
      </c>
      <c r="B135" s="6" t="s">
        <v>31</v>
      </c>
      <c r="C135" s="6" t="s">
        <v>826</v>
      </c>
      <c r="D135" s="6" t="s">
        <v>827</v>
      </c>
      <c r="E135" s="6" t="s">
        <v>622</v>
      </c>
      <c r="F135" s="6" t="s">
        <v>828</v>
      </c>
      <c r="G135" s="6" t="s">
        <v>722</v>
      </c>
    </row>
    <row r="136" spans="1:7" x14ac:dyDescent="0.25">
      <c r="A136" s="6">
        <v>135</v>
      </c>
      <c r="B136" s="6" t="s">
        <v>31</v>
      </c>
      <c r="C136" s="6" t="s">
        <v>829</v>
      </c>
      <c r="D136" s="6" t="s">
        <v>830</v>
      </c>
      <c r="E136" s="6" t="s">
        <v>445</v>
      </c>
      <c r="F136" s="6" t="s">
        <v>831</v>
      </c>
      <c r="G136" s="6" t="s">
        <v>832</v>
      </c>
    </row>
    <row r="137" spans="1:7" x14ac:dyDescent="0.25">
      <c r="A137" s="6">
        <v>136</v>
      </c>
      <c r="B137" s="6" t="s">
        <v>31</v>
      </c>
      <c r="C137" s="6" t="s">
        <v>833</v>
      </c>
      <c r="D137" s="6" t="s">
        <v>834</v>
      </c>
      <c r="E137" s="6" t="s">
        <v>622</v>
      </c>
      <c r="F137" s="6" t="s">
        <v>835</v>
      </c>
      <c r="G137" s="6" t="s">
        <v>836</v>
      </c>
    </row>
    <row r="138" spans="1:7" x14ac:dyDescent="0.25">
      <c r="A138" s="6">
        <v>137</v>
      </c>
      <c r="B138" s="6" t="s">
        <v>31</v>
      </c>
      <c r="C138" s="6" t="s">
        <v>837</v>
      </c>
      <c r="D138" s="6" t="s">
        <v>838</v>
      </c>
      <c r="E138" s="6" t="s">
        <v>584</v>
      </c>
      <c r="F138" s="6" t="s">
        <v>839</v>
      </c>
      <c r="G138" s="6" t="s">
        <v>93</v>
      </c>
    </row>
    <row r="139" spans="1:7" x14ac:dyDescent="0.25">
      <c r="A139" s="6">
        <v>138</v>
      </c>
      <c r="B139" s="6" t="s">
        <v>31</v>
      </c>
      <c r="C139" s="6" t="s">
        <v>840</v>
      </c>
      <c r="D139" s="6" t="s">
        <v>841</v>
      </c>
      <c r="E139" s="6" t="s">
        <v>674</v>
      </c>
      <c r="F139" s="6" t="s">
        <v>842</v>
      </c>
      <c r="G139" s="6" t="s">
        <v>843</v>
      </c>
    </row>
    <row r="140" spans="1:7" x14ac:dyDescent="0.25">
      <c r="A140" s="6">
        <v>139</v>
      </c>
      <c r="B140" s="6" t="s">
        <v>31</v>
      </c>
      <c r="C140" s="6" t="s">
        <v>844</v>
      </c>
      <c r="D140" s="6" t="s">
        <v>845</v>
      </c>
      <c r="E140" s="6" t="s">
        <v>22</v>
      </c>
      <c r="F140" s="6" t="s">
        <v>846</v>
      </c>
      <c r="G140" s="6" t="s">
        <v>93</v>
      </c>
    </row>
    <row r="141" spans="1:7" x14ac:dyDescent="0.25">
      <c r="A141" s="6">
        <v>140</v>
      </c>
      <c r="B141" s="6" t="s">
        <v>31</v>
      </c>
      <c r="C141" s="6" t="s">
        <v>847</v>
      </c>
      <c r="D141" s="6" t="s">
        <v>848</v>
      </c>
      <c r="E141" s="6" t="s">
        <v>404</v>
      </c>
      <c r="F141" s="6" t="s">
        <v>849</v>
      </c>
      <c r="G141" s="6" t="s">
        <v>93</v>
      </c>
    </row>
    <row r="142" spans="1:7" x14ac:dyDescent="0.25">
      <c r="A142" s="6">
        <v>141</v>
      </c>
      <c r="B142" s="6" t="s">
        <v>31</v>
      </c>
      <c r="C142" s="6" t="s">
        <v>850</v>
      </c>
      <c r="D142" s="6" t="s">
        <v>851</v>
      </c>
      <c r="E142" s="6" t="s">
        <v>24</v>
      </c>
      <c r="F142" s="6" t="s">
        <v>852</v>
      </c>
      <c r="G142" s="6" t="s">
        <v>722</v>
      </c>
    </row>
    <row r="143" spans="1:7" x14ac:dyDescent="0.25">
      <c r="A143" s="6">
        <v>142</v>
      </c>
      <c r="B143" s="6" t="s">
        <v>31</v>
      </c>
      <c r="C143" s="6" t="s">
        <v>853</v>
      </c>
      <c r="D143" s="6" t="s">
        <v>854</v>
      </c>
      <c r="E143" s="6" t="s">
        <v>674</v>
      </c>
      <c r="F143" s="6" t="s">
        <v>855</v>
      </c>
      <c r="G143" s="6" t="s">
        <v>856</v>
      </c>
    </row>
    <row r="144" spans="1:7" x14ac:dyDescent="0.25">
      <c r="A144" s="6">
        <v>143</v>
      </c>
      <c r="B144" s="6" t="s">
        <v>31</v>
      </c>
      <c r="C144" s="6" t="s">
        <v>857</v>
      </c>
      <c r="D144" s="6" t="s">
        <v>858</v>
      </c>
      <c r="E144" s="6" t="s">
        <v>674</v>
      </c>
      <c r="F144" s="6" t="s">
        <v>859</v>
      </c>
      <c r="G144" s="6" t="s">
        <v>860</v>
      </c>
    </row>
    <row r="145" spans="1:7" x14ac:dyDescent="0.25">
      <c r="A145" s="6">
        <v>144</v>
      </c>
      <c r="B145" s="6" t="s">
        <v>31</v>
      </c>
      <c r="C145" s="6" t="s">
        <v>861</v>
      </c>
      <c r="D145" s="6" t="s">
        <v>862</v>
      </c>
      <c r="E145" s="6" t="s">
        <v>23</v>
      </c>
      <c r="F145" s="6" t="s">
        <v>863</v>
      </c>
      <c r="G145" s="6" t="s">
        <v>93</v>
      </c>
    </row>
    <row r="146" spans="1:7" x14ac:dyDescent="0.25">
      <c r="A146" s="6">
        <v>145</v>
      </c>
      <c r="B146" s="6" t="s">
        <v>31</v>
      </c>
      <c r="C146" s="6" t="s">
        <v>864</v>
      </c>
      <c r="D146" s="6" t="s">
        <v>865</v>
      </c>
      <c r="E146" s="6" t="s">
        <v>404</v>
      </c>
      <c r="F146" s="6" t="s">
        <v>866</v>
      </c>
      <c r="G146" s="6" t="s">
        <v>93</v>
      </c>
    </row>
    <row r="147" spans="1:7" x14ac:dyDescent="0.25">
      <c r="A147" s="6">
        <v>146</v>
      </c>
      <c r="B147" s="6" t="s">
        <v>31</v>
      </c>
      <c r="C147" s="6" t="s">
        <v>867</v>
      </c>
      <c r="D147" s="6" t="s">
        <v>868</v>
      </c>
      <c r="E147" s="6" t="s">
        <v>404</v>
      </c>
      <c r="F147" s="6" t="s">
        <v>869</v>
      </c>
      <c r="G147" s="6" t="s">
        <v>93</v>
      </c>
    </row>
    <row r="148" spans="1:7" x14ac:dyDescent="0.25">
      <c r="A148" s="6">
        <v>147</v>
      </c>
      <c r="B148" s="6" t="s">
        <v>31</v>
      </c>
      <c r="C148" s="6" t="s">
        <v>870</v>
      </c>
      <c r="D148" s="6" t="s">
        <v>871</v>
      </c>
      <c r="E148" s="6" t="s">
        <v>24</v>
      </c>
      <c r="F148" s="6" t="s">
        <v>872</v>
      </c>
      <c r="G148" s="6" t="s">
        <v>873</v>
      </c>
    </row>
    <row r="149" spans="1:7" x14ac:dyDescent="0.25">
      <c r="A149" s="6">
        <v>148</v>
      </c>
      <c r="B149" s="6" t="s">
        <v>31</v>
      </c>
      <c r="C149" s="6" t="s">
        <v>874</v>
      </c>
      <c r="D149" s="6" t="s">
        <v>875</v>
      </c>
      <c r="E149" s="6" t="s">
        <v>24</v>
      </c>
      <c r="F149" s="6" t="s">
        <v>876</v>
      </c>
      <c r="G149" s="6" t="s">
        <v>877</v>
      </c>
    </row>
    <row r="150" spans="1:7" x14ac:dyDescent="0.25">
      <c r="A150" s="6">
        <v>149</v>
      </c>
      <c r="B150" s="6" t="s">
        <v>31</v>
      </c>
      <c r="C150" s="6" t="s">
        <v>878</v>
      </c>
      <c r="D150" s="6" t="s">
        <v>879</v>
      </c>
      <c r="E150" s="6" t="s">
        <v>445</v>
      </c>
      <c r="F150" s="6" t="s">
        <v>880</v>
      </c>
      <c r="G150" s="6" t="s">
        <v>881</v>
      </c>
    </row>
    <row r="151" spans="1:7" x14ac:dyDescent="0.25">
      <c r="A151" s="6">
        <v>150</v>
      </c>
      <c r="B151" s="6" t="s">
        <v>31</v>
      </c>
      <c r="C151" s="6" t="s">
        <v>882</v>
      </c>
      <c r="D151" s="6" t="s">
        <v>883</v>
      </c>
      <c r="E151" s="6" t="s">
        <v>23</v>
      </c>
      <c r="F151" s="6" t="s">
        <v>884</v>
      </c>
      <c r="G151" s="6" t="s">
        <v>93</v>
      </c>
    </row>
    <row r="152" spans="1:7" x14ac:dyDescent="0.25">
      <c r="A152" s="6">
        <v>151</v>
      </c>
      <c r="B152" s="6" t="s">
        <v>31</v>
      </c>
      <c r="C152" s="6" t="s">
        <v>885</v>
      </c>
      <c r="D152" s="6" t="s">
        <v>886</v>
      </c>
      <c r="E152" s="6" t="s">
        <v>24</v>
      </c>
      <c r="F152" s="6" t="s">
        <v>887</v>
      </c>
      <c r="G152" s="6" t="s">
        <v>888</v>
      </c>
    </row>
    <row r="153" spans="1:7" x14ac:dyDescent="0.25">
      <c r="A153" s="6">
        <v>152</v>
      </c>
      <c r="B153" s="6" t="s">
        <v>31</v>
      </c>
      <c r="C153" s="6" t="s">
        <v>889</v>
      </c>
      <c r="D153" s="6" t="s">
        <v>890</v>
      </c>
      <c r="E153" s="6" t="s">
        <v>24</v>
      </c>
      <c r="F153" s="6" t="s">
        <v>891</v>
      </c>
      <c r="G153" s="6" t="s">
        <v>892</v>
      </c>
    </row>
    <row r="154" spans="1:7" x14ac:dyDescent="0.25">
      <c r="A154" s="6">
        <v>153</v>
      </c>
      <c r="B154" s="6" t="s">
        <v>31</v>
      </c>
      <c r="C154" s="6" t="s">
        <v>893</v>
      </c>
      <c r="D154" s="6" t="s">
        <v>894</v>
      </c>
      <c r="E154" s="6" t="s">
        <v>674</v>
      </c>
      <c r="F154" s="6" t="s">
        <v>895</v>
      </c>
      <c r="G154" s="6" t="s">
        <v>896</v>
      </c>
    </row>
    <row r="155" spans="1:7" x14ac:dyDescent="0.25">
      <c r="A155" s="6">
        <v>154</v>
      </c>
      <c r="B155" s="6" t="s">
        <v>31</v>
      </c>
      <c r="C155" s="6" t="s">
        <v>897</v>
      </c>
      <c r="D155" s="6" t="s">
        <v>898</v>
      </c>
      <c r="E155" s="6" t="s">
        <v>622</v>
      </c>
      <c r="F155" s="6" t="s">
        <v>899</v>
      </c>
      <c r="G155" s="6" t="s">
        <v>900</v>
      </c>
    </row>
    <row r="156" spans="1:7" x14ac:dyDescent="0.25">
      <c r="A156" s="6">
        <v>155</v>
      </c>
      <c r="B156" s="6" t="s">
        <v>31</v>
      </c>
      <c r="C156" s="6" t="s">
        <v>901</v>
      </c>
      <c r="D156" s="6" t="s">
        <v>902</v>
      </c>
      <c r="E156" s="6" t="s">
        <v>24</v>
      </c>
      <c r="F156" s="6" t="s">
        <v>903</v>
      </c>
      <c r="G156" s="6" t="s">
        <v>904</v>
      </c>
    </row>
    <row r="157" spans="1:7" x14ac:dyDescent="0.25">
      <c r="A157" s="6">
        <v>156</v>
      </c>
      <c r="B157" s="6" t="s">
        <v>31</v>
      </c>
      <c r="C157" s="6" t="s">
        <v>905</v>
      </c>
      <c r="D157" s="6" t="s">
        <v>906</v>
      </c>
      <c r="E157" s="6" t="s">
        <v>24</v>
      </c>
      <c r="F157" s="6" t="s">
        <v>907</v>
      </c>
      <c r="G157" s="6" t="s">
        <v>908</v>
      </c>
    </row>
    <row r="158" spans="1:7" x14ac:dyDescent="0.25">
      <c r="A158" s="6">
        <v>157</v>
      </c>
      <c r="B158" s="6" t="s">
        <v>31</v>
      </c>
      <c r="C158" s="6" t="s">
        <v>909</v>
      </c>
      <c r="D158" s="6" t="s">
        <v>910</v>
      </c>
      <c r="E158" s="6" t="s">
        <v>450</v>
      </c>
      <c r="F158" s="6" t="s">
        <v>911</v>
      </c>
      <c r="G158" s="6" t="s">
        <v>743</v>
      </c>
    </row>
    <row r="159" spans="1:7" x14ac:dyDescent="0.25">
      <c r="A159" s="6">
        <v>158</v>
      </c>
      <c r="B159" s="6" t="s">
        <v>31</v>
      </c>
      <c r="C159" s="6" t="s">
        <v>912</v>
      </c>
      <c r="D159" s="6" t="s">
        <v>913</v>
      </c>
      <c r="E159" s="6" t="s">
        <v>461</v>
      </c>
      <c r="F159" s="6" t="s">
        <v>914</v>
      </c>
      <c r="G159" s="6" t="s">
        <v>93</v>
      </c>
    </row>
    <row r="160" spans="1:7" x14ac:dyDescent="0.25">
      <c r="A160" s="6">
        <v>159</v>
      </c>
      <c r="B160" s="6" t="s">
        <v>31</v>
      </c>
      <c r="C160" s="6" t="s">
        <v>915</v>
      </c>
      <c r="D160" s="6" t="s">
        <v>916</v>
      </c>
      <c r="E160" s="6" t="s">
        <v>674</v>
      </c>
      <c r="F160" s="6" t="s">
        <v>917</v>
      </c>
      <c r="G160" s="6" t="s">
        <v>918</v>
      </c>
    </row>
    <row r="161" spans="1:7" x14ac:dyDescent="0.25">
      <c r="A161" s="6">
        <v>160</v>
      </c>
      <c r="B161" s="6" t="s">
        <v>31</v>
      </c>
      <c r="C161" s="6" t="s">
        <v>919</v>
      </c>
      <c r="D161" s="6" t="s">
        <v>920</v>
      </c>
      <c r="E161" s="6" t="s">
        <v>404</v>
      </c>
      <c r="F161" s="6" t="s">
        <v>921</v>
      </c>
      <c r="G161" s="6" t="s">
        <v>93</v>
      </c>
    </row>
    <row r="162" spans="1:7" x14ac:dyDescent="0.25">
      <c r="A162" s="6">
        <v>161</v>
      </c>
      <c r="B162" s="6" t="s">
        <v>31</v>
      </c>
      <c r="C162" s="6" t="s">
        <v>922</v>
      </c>
      <c r="D162" s="6" t="s">
        <v>923</v>
      </c>
      <c r="E162" s="6" t="s">
        <v>445</v>
      </c>
      <c r="F162" s="6" t="s">
        <v>924</v>
      </c>
      <c r="G162" s="6" t="s">
        <v>925</v>
      </c>
    </row>
    <row r="163" spans="1:7" x14ac:dyDescent="0.25">
      <c r="A163" s="6">
        <v>162</v>
      </c>
      <c r="B163" s="6" t="s">
        <v>31</v>
      </c>
      <c r="C163" s="6" t="s">
        <v>926</v>
      </c>
      <c r="D163" s="6" t="s">
        <v>927</v>
      </c>
      <c r="E163" s="6" t="s">
        <v>25</v>
      </c>
      <c r="F163" s="6" t="s">
        <v>928</v>
      </c>
      <c r="G163" s="6" t="s">
        <v>93</v>
      </c>
    </row>
    <row r="164" spans="1:7" x14ac:dyDescent="0.25">
      <c r="A164" s="6">
        <v>163</v>
      </c>
      <c r="B164" s="6" t="s">
        <v>31</v>
      </c>
      <c r="C164" s="6" t="s">
        <v>929</v>
      </c>
      <c r="D164" s="6" t="s">
        <v>930</v>
      </c>
      <c r="E164" s="6" t="s">
        <v>674</v>
      </c>
      <c r="F164" s="6" t="s">
        <v>931</v>
      </c>
      <c r="G164" s="6" t="s">
        <v>932</v>
      </c>
    </row>
    <row r="165" spans="1:7" x14ac:dyDescent="0.25">
      <c r="A165" s="6">
        <v>164</v>
      </c>
      <c r="B165" s="6" t="s">
        <v>31</v>
      </c>
      <c r="C165" s="6" t="s">
        <v>933</v>
      </c>
      <c r="D165" s="6" t="s">
        <v>934</v>
      </c>
      <c r="E165" s="6" t="s">
        <v>674</v>
      </c>
      <c r="F165" s="6" t="s">
        <v>935</v>
      </c>
      <c r="G165" s="6" t="s">
        <v>743</v>
      </c>
    </row>
    <row r="166" spans="1:7" x14ac:dyDescent="0.25">
      <c r="A166" s="6">
        <v>165</v>
      </c>
      <c r="B166" s="6" t="s">
        <v>31</v>
      </c>
      <c r="C166" s="6" t="s">
        <v>936</v>
      </c>
      <c r="D166" s="6" t="s">
        <v>937</v>
      </c>
      <c r="E166" s="6" t="s">
        <v>25</v>
      </c>
      <c r="F166" s="6" t="s">
        <v>938</v>
      </c>
      <c r="G166" s="6" t="s">
        <v>93</v>
      </c>
    </row>
    <row r="167" spans="1:7" x14ac:dyDescent="0.25">
      <c r="A167" s="6">
        <v>166</v>
      </c>
      <c r="B167" s="6" t="s">
        <v>31</v>
      </c>
      <c r="C167" s="6" t="s">
        <v>939</v>
      </c>
      <c r="D167" s="6" t="s">
        <v>940</v>
      </c>
      <c r="E167" s="6" t="s">
        <v>674</v>
      </c>
      <c r="F167" s="6" t="s">
        <v>941</v>
      </c>
      <c r="G167" s="6" t="s">
        <v>942</v>
      </c>
    </row>
    <row r="168" spans="1:7" x14ac:dyDescent="0.25">
      <c r="A168" s="6">
        <v>167</v>
      </c>
      <c r="B168" s="6" t="s">
        <v>31</v>
      </c>
      <c r="C168" s="6" t="s">
        <v>943</v>
      </c>
      <c r="D168" s="6" t="s">
        <v>944</v>
      </c>
      <c r="E168" s="6" t="s">
        <v>404</v>
      </c>
      <c r="F168" s="6" t="s">
        <v>945</v>
      </c>
      <c r="G168" s="6" t="s">
        <v>93</v>
      </c>
    </row>
    <row r="169" spans="1:7" x14ac:dyDescent="0.25">
      <c r="A169" s="6">
        <v>168</v>
      </c>
      <c r="B169" s="6" t="s">
        <v>31</v>
      </c>
      <c r="C169" s="6" t="s">
        <v>946</v>
      </c>
      <c r="D169" s="6" t="s">
        <v>947</v>
      </c>
      <c r="E169" s="6" t="s">
        <v>674</v>
      </c>
      <c r="F169" s="6" t="s">
        <v>948</v>
      </c>
      <c r="G169" s="6" t="s">
        <v>949</v>
      </c>
    </row>
    <row r="170" spans="1:7" x14ac:dyDescent="0.25">
      <c r="A170" s="6">
        <v>169</v>
      </c>
      <c r="B170" s="6" t="s">
        <v>31</v>
      </c>
      <c r="C170" s="6" t="s">
        <v>950</v>
      </c>
      <c r="D170" s="6" t="s">
        <v>951</v>
      </c>
      <c r="E170" s="6" t="s">
        <v>622</v>
      </c>
      <c r="F170" s="6" t="s">
        <v>952</v>
      </c>
      <c r="G170" s="6" t="s">
        <v>953</v>
      </c>
    </row>
    <row r="171" spans="1:7" x14ac:dyDescent="0.25">
      <c r="A171" s="6">
        <v>170</v>
      </c>
      <c r="B171" s="6" t="s">
        <v>31</v>
      </c>
      <c r="C171" s="6" t="s">
        <v>954</v>
      </c>
      <c r="D171" s="6" t="s">
        <v>955</v>
      </c>
      <c r="E171" s="6" t="s">
        <v>622</v>
      </c>
      <c r="F171" s="6" t="s">
        <v>956</v>
      </c>
      <c r="G171" s="6" t="s">
        <v>957</v>
      </c>
    </row>
    <row r="172" spans="1:7" x14ac:dyDescent="0.25">
      <c r="A172" s="6">
        <v>171</v>
      </c>
      <c r="B172" s="6" t="s">
        <v>31</v>
      </c>
      <c r="C172" s="6" t="s">
        <v>958</v>
      </c>
      <c r="D172" s="6" t="s">
        <v>959</v>
      </c>
      <c r="E172" s="6" t="s">
        <v>24</v>
      </c>
      <c r="F172" s="6" t="s">
        <v>960</v>
      </c>
      <c r="G172" s="6" t="s">
        <v>743</v>
      </c>
    </row>
    <row r="173" spans="1:7" x14ac:dyDescent="0.25">
      <c r="A173" s="6">
        <v>172</v>
      </c>
      <c r="B173" s="6" t="s">
        <v>31</v>
      </c>
      <c r="C173" s="6" t="s">
        <v>961</v>
      </c>
      <c r="D173" s="6" t="s">
        <v>962</v>
      </c>
      <c r="E173" s="6" t="s">
        <v>674</v>
      </c>
      <c r="F173" s="6" t="s">
        <v>963</v>
      </c>
      <c r="G173" s="6" t="s">
        <v>964</v>
      </c>
    </row>
    <row r="174" spans="1:7" x14ac:dyDescent="0.25">
      <c r="A174" s="6">
        <v>173</v>
      </c>
      <c r="B174" s="6" t="s">
        <v>31</v>
      </c>
      <c r="C174" s="6" t="s">
        <v>965</v>
      </c>
      <c r="D174" s="6" t="s">
        <v>966</v>
      </c>
      <c r="E174" s="6" t="s">
        <v>674</v>
      </c>
      <c r="F174" s="6" t="s">
        <v>967</v>
      </c>
      <c r="G174" s="6" t="s">
        <v>743</v>
      </c>
    </row>
    <row r="175" spans="1:7" x14ac:dyDescent="0.25">
      <c r="A175" s="6">
        <v>174</v>
      </c>
      <c r="B175" s="6" t="s">
        <v>31</v>
      </c>
      <c r="C175" s="6" t="s">
        <v>968</v>
      </c>
      <c r="D175" s="6" t="s">
        <v>969</v>
      </c>
      <c r="E175" s="6" t="s">
        <v>674</v>
      </c>
      <c r="F175" s="6" t="s">
        <v>970</v>
      </c>
      <c r="G175" s="6" t="s">
        <v>743</v>
      </c>
    </row>
    <row r="176" spans="1:7" x14ac:dyDescent="0.25">
      <c r="A176" s="6">
        <v>175</v>
      </c>
      <c r="B176" s="6" t="s">
        <v>31</v>
      </c>
      <c r="C176" s="6" t="s">
        <v>971</v>
      </c>
      <c r="D176" s="6" t="s">
        <v>972</v>
      </c>
      <c r="E176" s="6" t="s">
        <v>445</v>
      </c>
      <c r="F176" s="6" t="s">
        <v>973</v>
      </c>
      <c r="G176" s="6" t="s">
        <v>974</v>
      </c>
    </row>
    <row r="177" spans="1:7" x14ac:dyDescent="0.25">
      <c r="A177" s="6">
        <v>176</v>
      </c>
      <c r="B177" s="6" t="s">
        <v>31</v>
      </c>
      <c r="C177" s="6" t="s">
        <v>975</v>
      </c>
      <c r="D177" s="6" t="s">
        <v>976</v>
      </c>
      <c r="E177" s="6" t="s">
        <v>622</v>
      </c>
      <c r="F177" s="6" t="s">
        <v>977</v>
      </c>
      <c r="G177" s="6" t="s">
        <v>978</v>
      </c>
    </row>
    <row r="178" spans="1:7" x14ac:dyDescent="0.25">
      <c r="A178" s="6">
        <v>177</v>
      </c>
      <c r="B178" s="6" t="s">
        <v>31</v>
      </c>
      <c r="C178" s="6" t="s">
        <v>979</v>
      </c>
      <c r="D178" s="6" t="s">
        <v>980</v>
      </c>
      <c r="E178" s="6" t="s">
        <v>404</v>
      </c>
      <c r="F178" s="6" t="s">
        <v>981</v>
      </c>
      <c r="G178" s="6" t="s">
        <v>93</v>
      </c>
    </row>
    <row r="179" spans="1:7" x14ac:dyDescent="0.25">
      <c r="A179" s="6">
        <v>178</v>
      </c>
      <c r="B179" s="6" t="s">
        <v>31</v>
      </c>
      <c r="C179" s="6" t="s">
        <v>982</v>
      </c>
      <c r="D179" s="6" t="s">
        <v>983</v>
      </c>
      <c r="E179" s="6" t="s">
        <v>622</v>
      </c>
      <c r="F179" s="6" t="s">
        <v>984</v>
      </c>
      <c r="G179" s="6" t="s">
        <v>985</v>
      </c>
    </row>
    <row r="180" spans="1:7" x14ac:dyDescent="0.25">
      <c r="A180" s="6">
        <v>179</v>
      </c>
      <c r="B180" s="6" t="s">
        <v>31</v>
      </c>
      <c r="C180" s="6" t="s">
        <v>986</v>
      </c>
      <c r="D180" s="6" t="s">
        <v>987</v>
      </c>
      <c r="E180" s="6" t="s">
        <v>584</v>
      </c>
      <c r="F180" s="6" t="s">
        <v>988</v>
      </c>
      <c r="G180" s="6" t="s">
        <v>93</v>
      </c>
    </row>
    <row r="181" spans="1:7" x14ac:dyDescent="0.25">
      <c r="A181" s="6">
        <v>180</v>
      </c>
      <c r="B181" s="6" t="s">
        <v>31</v>
      </c>
      <c r="C181" s="6" t="s">
        <v>989</v>
      </c>
      <c r="D181" s="6" t="s">
        <v>990</v>
      </c>
      <c r="E181" s="6" t="s">
        <v>674</v>
      </c>
      <c r="F181" s="6" t="s">
        <v>991</v>
      </c>
      <c r="G181" s="6" t="s">
        <v>743</v>
      </c>
    </row>
    <row r="182" spans="1:7" x14ac:dyDescent="0.25">
      <c r="A182" s="6">
        <v>181</v>
      </c>
      <c r="B182" s="6" t="s">
        <v>31</v>
      </c>
      <c r="C182" s="6" t="s">
        <v>992</v>
      </c>
      <c r="D182" s="6" t="s">
        <v>993</v>
      </c>
      <c r="E182" s="6" t="s">
        <v>23</v>
      </c>
      <c r="F182" s="6" t="s">
        <v>994</v>
      </c>
      <c r="G182" s="6" t="s">
        <v>93</v>
      </c>
    </row>
    <row r="183" spans="1:7" x14ac:dyDescent="0.25">
      <c r="A183" s="6">
        <v>182</v>
      </c>
      <c r="B183" s="6" t="s">
        <v>31</v>
      </c>
      <c r="C183" s="6" t="s">
        <v>995</v>
      </c>
      <c r="D183" s="6" t="s">
        <v>996</v>
      </c>
      <c r="E183" s="6" t="s">
        <v>674</v>
      </c>
      <c r="F183" s="6" t="s">
        <v>997</v>
      </c>
      <c r="G183" s="6" t="s">
        <v>998</v>
      </c>
    </row>
    <row r="184" spans="1:7" x14ac:dyDescent="0.25">
      <c r="A184" s="6">
        <v>183</v>
      </c>
      <c r="B184" s="6" t="s">
        <v>31</v>
      </c>
      <c r="C184" s="6" t="s">
        <v>999</v>
      </c>
      <c r="D184" s="6" t="s">
        <v>1000</v>
      </c>
      <c r="E184" s="6" t="s">
        <v>24</v>
      </c>
      <c r="F184" s="6" t="s">
        <v>1001</v>
      </c>
      <c r="G184" s="6" t="s">
        <v>1002</v>
      </c>
    </row>
    <row r="185" spans="1:7" x14ac:dyDescent="0.25">
      <c r="A185" s="6">
        <v>184</v>
      </c>
      <c r="B185" s="6" t="s">
        <v>31</v>
      </c>
      <c r="C185" s="6" t="s">
        <v>1003</v>
      </c>
      <c r="D185" s="6" t="s">
        <v>1004</v>
      </c>
      <c r="E185" s="6" t="s">
        <v>445</v>
      </c>
      <c r="F185" s="6" t="s">
        <v>1005</v>
      </c>
      <c r="G185" s="6" t="s">
        <v>1006</v>
      </c>
    </row>
    <row r="186" spans="1:7" x14ac:dyDescent="0.25">
      <c r="A186" s="6">
        <v>185</v>
      </c>
      <c r="B186" s="6" t="s">
        <v>31</v>
      </c>
      <c r="C186" s="6" t="s">
        <v>1007</v>
      </c>
      <c r="D186" s="6" t="s">
        <v>1008</v>
      </c>
      <c r="E186" s="6" t="s">
        <v>23</v>
      </c>
      <c r="F186" s="6" t="s">
        <v>1009</v>
      </c>
      <c r="G186" s="6" t="s">
        <v>93</v>
      </c>
    </row>
    <row r="187" spans="1:7" x14ac:dyDescent="0.25">
      <c r="A187" s="6">
        <v>186</v>
      </c>
      <c r="B187" s="6" t="s">
        <v>31</v>
      </c>
      <c r="C187" s="6" t="s">
        <v>1010</v>
      </c>
      <c r="D187" s="6" t="s">
        <v>1011</v>
      </c>
      <c r="E187" s="6" t="s">
        <v>404</v>
      </c>
      <c r="F187" s="6" t="s">
        <v>1012</v>
      </c>
      <c r="G187" s="6" t="s">
        <v>93</v>
      </c>
    </row>
    <row r="188" spans="1:7" x14ac:dyDescent="0.25">
      <c r="A188" s="6">
        <v>187</v>
      </c>
      <c r="B188" s="6" t="s">
        <v>31</v>
      </c>
      <c r="C188" s="6" t="s">
        <v>1013</v>
      </c>
      <c r="D188" s="6" t="s">
        <v>1014</v>
      </c>
      <c r="E188" s="6" t="s">
        <v>396</v>
      </c>
      <c r="F188" s="6" t="s">
        <v>1015</v>
      </c>
      <c r="G188" s="6" t="s">
        <v>93</v>
      </c>
    </row>
    <row r="189" spans="1:7" x14ac:dyDescent="0.25">
      <c r="A189" s="6">
        <v>188</v>
      </c>
      <c r="B189" s="6" t="s">
        <v>31</v>
      </c>
      <c r="C189" s="6" t="s">
        <v>1016</v>
      </c>
      <c r="D189" s="6" t="s">
        <v>1017</v>
      </c>
      <c r="E189" s="6" t="s">
        <v>584</v>
      </c>
      <c r="F189" s="6" t="s">
        <v>1018</v>
      </c>
      <c r="G189" s="6" t="s">
        <v>93</v>
      </c>
    </row>
    <row r="190" spans="1:7" x14ac:dyDescent="0.25">
      <c r="A190" s="6">
        <v>189</v>
      </c>
      <c r="B190" s="6" t="s">
        <v>31</v>
      </c>
      <c r="C190" s="6" t="s">
        <v>1019</v>
      </c>
      <c r="D190" s="6" t="s">
        <v>1020</v>
      </c>
      <c r="E190" s="6" t="s">
        <v>584</v>
      </c>
      <c r="F190" s="6" t="s">
        <v>1021</v>
      </c>
      <c r="G190" s="6" t="s">
        <v>93</v>
      </c>
    </row>
    <row r="191" spans="1:7" x14ac:dyDescent="0.25">
      <c r="A191" s="6">
        <v>190</v>
      </c>
      <c r="B191" s="6" t="s">
        <v>31</v>
      </c>
      <c r="C191" s="6" t="s">
        <v>1022</v>
      </c>
      <c r="D191" s="6" t="s">
        <v>1023</v>
      </c>
      <c r="E191" s="6" t="s">
        <v>24</v>
      </c>
      <c r="F191" s="6" t="s">
        <v>1024</v>
      </c>
      <c r="G191" s="6" t="s">
        <v>1025</v>
      </c>
    </row>
    <row r="192" spans="1:7" x14ac:dyDescent="0.25">
      <c r="A192" s="6">
        <v>191</v>
      </c>
      <c r="B192" s="6" t="s">
        <v>31</v>
      </c>
      <c r="C192" s="6" t="s">
        <v>1026</v>
      </c>
      <c r="D192" s="6" t="s">
        <v>1027</v>
      </c>
      <c r="E192" s="6" t="s">
        <v>24</v>
      </c>
      <c r="F192" s="6" t="s">
        <v>1028</v>
      </c>
      <c r="G192" s="6" t="s">
        <v>1029</v>
      </c>
    </row>
    <row r="193" spans="1:7" x14ac:dyDescent="0.25">
      <c r="A193" s="6">
        <v>192</v>
      </c>
      <c r="B193" s="6" t="s">
        <v>31</v>
      </c>
      <c r="C193" s="6" t="s">
        <v>1030</v>
      </c>
      <c r="D193" s="6" t="s">
        <v>1031</v>
      </c>
      <c r="E193" s="6" t="s">
        <v>674</v>
      </c>
      <c r="F193" s="6" t="s">
        <v>1032</v>
      </c>
      <c r="G193" s="6" t="s">
        <v>1033</v>
      </c>
    </row>
    <row r="194" spans="1:7" x14ac:dyDescent="0.25">
      <c r="A194" s="6">
        <v>193</v>
      </c>
      <c r="B194" s="6" t="s">
        <v>31</v>
      </c>
      <c r="C194" s="6" t="s">
        <v>1034</v>
      </c>
      <c r="D194" s="6" t="s">
        <v>1035</v>
      </c>
      <c r="E194" s="6" t="s">
        <v>24</v>
      </c>
      <c r="F194" s="6" t="s">
        <v>1036</v>
      </c>
      <c r="G194" s="6" t="s">
        <v>1037</v>
      </c>
    </row>
    <row r="195" spans="1:7" x14ac:dyDescent="0.25">
      <c r="A195" s="6">
        <v>194</v>
      </c>
      <c r="B195" s="6" t="s">
        <v>31</v>
      </c>
      <c r="C195" s="6" t="s">
        <v>1038</v>
      </c>
      <c r="D195" s="6" t="s">
        <v>1039</v>
      </c>
      <c r="E195" s="6" t="s">
        <v>674</v>
      </c>
      <c r="F195" s="6" t="s">
        <v>1040</v>
      </c>
      <c r="G195" s="6" t="s">
        <v>1041</v>
      </c>
    </row>
    <row r="196" spans="1:7" x14ac:dyDescent="0.25">
      <c r="A196" s="6">
        <v>195</v>
      </c>
      <c r="B196" s="6" t="s">
        <v>31</v>
      </c>
      <c r="C196" s="6" t="s">
        <v>1042</v>
      </c>
      <c r="D196" s="6" t="s">
        <v>1043</v>
      </c>
      <c r="E196" s="6" t="s">
        <v>24</v>
      </c>
      <c r="F196" s="6" t="s">
        <v>1044</v>
      </c>
      <c r="G196" s="6" t="s">
        <v>1045</v>
      </c>
    </row>
    <row r="197" spans="1:7" x14ac:dyDescent="0.25">
      <c r="A197" s="6">
        <v>196</v>
      </c>
      <c r="B197" s="6" t="s">
        <v>31</v>
      </c>
      <c r="C197" s="6" t="s">
        <v>1046</v>
      </c>
      <c r="D197" s="6" t="s">
        <v>1047</v>
      </c>
      <c r="E197" s="6" t="s">
        <v>622</v>
      </c>
      <c r="F197" s="6" t="s">
        <v>1048</v>
      </c>
      <c r="G197" s="6" t="s">
        <v>1049</v>
      </c>
    </row>
    <row r="198" spans="1:7" x14ac:dyDescent="0.25">
      <c r="A198" s="6">
        <v>197</v>
      </c>
      <c r="B198" s="6" t="s">
        <v>31</v>
      </c>
      <c r="C198" s="6" t="s">
        <v>1050</v>
      </c>
      <c r="D198" s="6" t="s">
        <v>1051</v>
      </c>
      <c r="E198" s="6" t="s">
        <v>23</v>
      </c>
      <c r="F198" s="6" t="s">
        <v>1052</v>
      </c>
      <c r="G198" s="6" t="s">
        <v>93</v>
      </c>
    </row>
    <row r="199" spans="1:7" x14ac:dyDescent="0.25">
      <c r="A199" s="6">
        <v>198</v>
      </c>
      <c r="B199" s="6" t="s">
        <v>31</v>
      </c>
      <c r="C199" s="6" t="s">
        <v>1053</v>
      </c>
      <c r="D199" s="6" t="s">
        <v>1054</v>
      </c>
      <c r="E199" s="6" t="s">
        <v>622</v>
      </c>
      <c r="F199" s="6" t="s">
        <v>1055</v>
      </c>
      <c r="G199" s="6" t="s">
        <v>1056</v>
      </c>
    </row>
    <row r="200" spans="1:7" x14ac:dyDescent="0.25">
      <c r="A200" s="6">
        <v>199</v>
      </c>
      <c r="B200" s="6" t="s">
        <v>31</v>
      </c>
      <c r="C200" s="6" t="s">
        <v>1057</v>
      </c>
      <c r="D200" s="6" t="s">
        <v>1058</v>
      </c>
      <c r="E200" s="6" t="s">
        <v>1059</v>
      </c>
      <c r="F200" s="6" t="s">
        <v>1060</v>
      </c>
      <c r="G200" s="6" t="s">
        <v>743</v>
      </c>
    </row>
    <row r="201" spans="1:7" x14ac:dyDescent="0.25">
      <c r="A201" s="6">
        <v>200</v>
      </c>
      <c r="B201" s="6" t="s">
        <v>31</v>
      </c>
      <c r="C201" s="6" t="s">
        <v>1061</v>
      </c>
      <c r="D201" s="6" t="s">
        <v>1062</v>
      </c>
      <c r="E201" s="6" t="s">
        <v>417</v>
      </c>
      <c r="F201" s="6" t="s">
        <v>1063</v>
      </c>
      <c r="G201" s="6" t="s">
        <v>1064</v>
      </c>
    </row>
    <row r="202" spans="1:7" x14ac:dyDescent="0.25">
      <c r="A202" s="6">
        <v>201</v>
      </c>
      <c r="B202" s="6" t="s">
        <v>31</v>
      </c>
      <c r="C202" s="6" t="s">
        <v>1065</v>
      </c>
      <c r="D202" s="6" t="s">
        <v>1066</v>
      </c>
      <c r="E202" s="6" t="s">
        <v>23</v>
      </c>
      <c r="F202" s="6" t="s">
        <v>1067</v>
      </c>
      <c r="G202" s="6" t="s">
        <v>93</v>
      </c>
    </row>
    <row r="203" spans="1:7" x14ac:dyDescent="0.25">
      <c r="A203" s="6">
        <v>202</v>
      </c>
      <c r="B203" s="6" t="s">
        <v>31</v>
      </c>
      <c r="C203" s="6" t="s">
        <v>1068</v>
      </c>
      <c r="D203" s="6" t="s">
        <v>1069</v>
      </c>
      <c r="E203" s="6" t="s">
        <v>674</v>
      </c>
      <c r="F203" s="6" t="s">
        <v>1070</v>
      </c>
      <c r="G203" s="6" t="s">
        <v>1071</v>
      </c>
    </row>
    <row r="204" spans="1:7" x14ac:dyDescent="0.25">
      <c r="A204" s="6">
        <v>203</v>
      </c>
      <c r="B204" s="6" t="s">
        <v>31</v>
      </c>
      <c r="C204" s="6" t="s">
        <v>1072</v>
      </c>
      <c r="D204" s="6" t="s">
        <v>1073</v>
      </c>
      <c r="E204" s="6" t="s">
        <v>24</v>
      </c>
      <c r="F204" s="6" t="s">
        <v>1074</v>
      </c>
      <c r="G204" s="6" t="s">
        <v>1071</v>
      </c>
    </row>
    <row r="205" spans="1:7" x14ac:dyDescent="0.25">
      <c r="A205" s="6">
        <v>204</v>
      </c>
      <c r="B205" s="6" t="s">
        <v>31</v>
      </c>
      <c r="C205" s="6" t="s">
        <v>1075</v>
      </c>
      <c r="D205" s="6" t="s">
        <v>1076</v>
      </c>
      <c r="E205" s="6" t="s">
        <v>674</v>
      </c>
      <c r="F205" s="6" t="s">
        <v>1077</v>
      </c>
      <c r="G205" s="6" t="s">
        <v>1078</v>
      </c>
    </row>
    <row r="206" spans="1:7" x14ac:dyDescent="0.25">
      <c r="A206" s="6">
        <v>205</v>
      </c>
      <c r="B206" s="6" t="s">
        <v>31</v>
      </c>
      <c r="C206" s="6" t="s">
        <v>1079</v>
      </c>
      <c r="D206" s="6" t="s">
        <v>1080</v>
      </c>
      <c r="E206" s="6" t="s">
        <v>24</v>
      </c>
      <c r="F206" s="6" t="s">
        <v>1081</v>
      </c>
      <c r="G206" s="6" t="s">
        <v>756</v>
      </c>
    </row>
    <row r="207" spans="1:7" x14ac:dyDescent="0.25">
      <c r="A207" s="6">
        <v>206</v>
      </c>
      <c r="B207" s="6" t="s">
        <v>31</v>
      </c>
      <c r="C207" s="6" t="s">
        <v>1082</v>
      </c>
      <c r="D207" s="6" t="s">
        <v>1083</v>
      </c>
      <c r="E207" s="6" t="s">
        <v>24</v>
      </c>
      <c r="F207" s="6" t="s">
        <v>1084</v>
      </c>
      <c r="G207" s="6" t="s">
        <v>1085</v>
      </c>
    </row>
    <row r="208" spans="1:7" x14ac:dyDescent="0.25">
      <c r="A208" s="6">
        <v>207</v>
      </c>
      <c r="B208" s="6" t="s">
        <v>31</v>
      </c>
      <c r="C208" s="6" t="s">
        <v>1086</v>
      </c>
      <c r="D208" s="6" t="s">
        <v>1087</v>
      </c>
      <c r="E208" s="6" t="s">
        <v>404</v>
      </c>
      <c r="F208" s="6" t="s">
        <v>1088</v>
      </c>
      <c r="G208" s="6" t="s">
        <v>93</v>
      </c>
    </row>
    <row r="209" spans="1:7" x14ac:dyDescent="0.25">
      <c r="A209" s="6">
        <v>208</v>
      </c>
      <c r="B209" s="6" t="s">
        <v>31</v>
      </c>
      <c r="C209" s="6" t="s">
        <v>1089</v>
      </c>
      <c r="D209" s="6" t="s">
        <v>1090</v>
      </c>
      <c r="E209" s="6" t="s">
        <v>24</v>
      </c>
      <c r="F209" s="6" t="s">
        <v>1091</v>
      </c>
      <c r="G209" s="6" t="s">
        <v>1092</v>
      </c>
    </row>
    <row r="210" spans="1:7" x14ac:dyDescent="0.25">
      <c r="A210" s="6">
        <v>209</v>
      </c>
      <c r="B210" s="6" t="s">
        <v>31</v>
      </c>
      <c r="C210" s="6" t="s">
        <v>1093</v>
      </c>
      <c r="D210" s="6" t="s">
        <v>1094</v>
      </c>
      <c r="E210" s="6" t="s">
        <v>622</v>
      </c>
      <c r="F210" s="6" t="s">
        <v>1095</v>
      </c>
      <c r="G210" s="6" t="s">
        <v>1096</v>
      </c>
    </row>
    <row r="211" spans="1:7" x14ac:dyDescent="0.25">
      <c r="A211" s="6">
        <v>210</v>
      </c>
      <c r="B211" s="6" t="s">
        <v>31</v>
      </c>
      <c r="C211" s="6" t="s">
        <v>1097</v>
      </c>
      <c r="D211" s="6" t="s">
        <v>1098</v>
      </c>
      <c r="E211" s="6" t="s">
        <v>404</v>
      </c>
      <c r="F211" s="6" t="s">
        <v>1099</v>
      </c>
      <c r="G211" s="6" t="s">
        <v>93</v>
      </c>
    </row>
    <row r="212" spans="1:7" x14ac:dyDescent="0.25">
      <c r="A212" s="6">
        <v>211</v>
      </c>
      <c r="B212" s="6" t="s">
        <v>31</v>
      </c>
      <c r="C212" s="6" t="s">
        <v>1100</v>
      </c>
      <c r="D212" s="6" t="s">
        <v>1101</v>
      </c>
      <c r="E212" s="6" t="s">
        <v>450</v>
      </c>
      <c r="F212" s="6" t="s">
        <v>1102</v>
      </c>
      <c r="G212" s="6" t="s">
        <v>1103</v>
      </c>
    </row>
    <row r="213" spans="1:7" x14ac:dyDescent="0.25">
      <c r="A213" s="6">
        <v>212</v>
      </c>
      <c r="B213" s="6" t="s">
        <v>31</v>
      </c>
      <c r="C213" s="6" t="s">
        <v>1104</v>
      </c>
      <c r="D213" s="6" t="s">
        <v>1105</v>
      </c>
      <c r="E213" s="6" t="s">
        <v>674</v>
      </c>
      <c r="F213" s="6" t="s">
        <v>1106</v>
      </c>
      <c r="G213" s="6" t="s">
        <v>1107</v>
      </c>
    </row>
    <row r="214" spans="1:7" x14ac:dyDescent="0.25">
      <c r="A214" s="6">
        <v>213</v>
      </c>
      <c r="B214" s="6" t="s">
        <v>31</v>
      </c>
      <c r="C214" s="6" t="s">
        <v>1108</v>
      </c>
      <c r="D214" s="6" t="s">
        <v>1109</v>
      </c>
      <c r="E214" s="6" t="s">
        <v>445</v>
      </c>
      <c r="F214" s="6" t="s">
        <v>1110</v>
      </c>
      <c r="G214" s="6" t="s">
        <v>743</v>
      </c>
    </row>
    <row r="215" spans="1:7" x14ac:dyDescent="0.25">
      <c r="A215" s="6">
        <v>214</v>
      </c>
      <c r="B215" s="6" t="s">
        <v>31</v>
      </c>
      <c r="C215" s="6" t="s">
        <v>1111</v>
      </c>
      <c r="D215" s="6" t="s">
        <v>1112</v>
      </c>
      <c r="E215" s="6" t="s">
        <v>24</v>
      </c>
      <c r="F215" s="6" t="s">
        <v>1113</v>
      </c>
      <c r="G215" s="6" t="s">
        <v>1114</v>
      </c>
    </row>
    <row r="216" spans="1:7" x14ac:dyDescent="0.25">
      <c r="A216" s="6">
        <v>215</v>
      </c>
      <c r="B216" s="6" t="s">
        <v>31</v>
      </c>
      <c r="C216" s="6" t="s">
        <v>1115</v>
      </c>
      <c r="D216" s="6" t="s">
        <v>1116</v>
      </c>
      <c r="E216" s="6" t="s">
        <v>24</v>
      </c>
      <c r="F216" s="6" t="s">
        <v>1117</v>
      </c>
      <c r="G216" s="6" t="s">
        <v>1118</v>
      </c>
    </row>
    <row r="217" spans="1:7" x14ac:dyDescent="0.25">
      <c r="A217" s="6">
        <v>216</v>
      </c>
      <c r="B217" s="6" t="s">
        <v>31</v>
      </c>
      <c r="C217" s="6" t="s">
        <v>1119</v>
      </c>
      <c r="D217" s="6" t="s">
        <v>1120</v>
      </c>
      <c r="E217" s="6" t="s">
        <v>24</v>
      </c>
      <c r="F217" s="6" t="s">
        <v>1121</v>
      </c>
      <c r="G217" s="6" t="s">
        <v>1122</v>
      </c>
    </row>
    <row r="218" spans="1:7" x14ac:dyDescent="0.25">
      <c r="A218" s="6">
        <v>217</v>
      </c>
      <c r="B218" s="6" t="s">
        <v>31</v>
      </c>
      <c r="C218" s="6" t="s">
        <v>1123</v>
      </c>
      <c r="D218" s="6" t="s">
        <v>1124</v>
      </c>
      <c r="E218" s="6" t="s">
        <v>25</v>
      </c>
      <c r="F218" s="6" t="s">
        <v>1125</v>
      </c>
      <c r="G218" s="6" t="s">
        <v>93</v>
      </c>
    </row>
    <row r="219" spans="1:7" x14ac:dyDescent="0.25">
      <c r="A219" s="6">
        <v>218</v>
      </c>
      <c r="B219" s="6" t="s">
        <v>31</v>
      </c>
      <c r="C219" s="6" t="s">
        <v>1126</v>
      </c>
      <c r="D219" s="6" t="s">
        <v>1127</v>
      </c>
      <c r="E219" s="6" t="s">
        <v>584</v>
      </c>
      <c r="F219" s="6" t="s">
        <v>1128</v>
      </c>
      <c r="G219" s="6" t="s">
        <v>93</v>
      </c>
    </row>
    <row r="220" spans="1:7" x14ac:dyDescent="0.25">
      <c r="A220" s="6">
        <v>219</v>
      </c>
      <c r="B220" s="6" t="s">
        <v>31</v>
      </c>
      <c r="C220" s="6" t="s">
        <v>1129</v>
      </c>
      <c r="D220" s="6" t="s">
        <v>1130</v>
      </c>
      <c r="E220" s="6" t="s">
        <v>24</v>
      </c>
      <c r="F220" s="6" t="s">
        <v>1131</v>
      </c>
      <c r="G220" s="6" t="s">
        <v>1132</v>
      </c>
    </row>
    <row r="221" spans="1:7" x14ac:dyDescent="0.25">
      <c r="A221" s="6">
        <v>220</v>
      </c>
      <c r="B221" s="6" t="s">
        <v>31</v>
      </c>
      <c r="C221" s="6" t="s">
        <v>1133</v>
      </c>
      <c r="D221" s="6" t="s">
        <v>1134</v>
      </c>
      <c r="E221" s="6" t="s">
        <v>25</v>
      </c>
      <c r="F221" s="6" t="s">
        <v>1135</v>
      </c>
      <c r="G221" s="6" t="s">
        <v>93</v>
      </c>
    </row>
    <row r="222" spans="1:7" x14ac:dyDescent="0.25">
      <c r="A222" s="6">
        <v>221</v>
      </c>
      <c r="B222" s="6" t="s">
        <v>31</v>
      </c>
      <c r="C222" s="6" t="s">
        <v>1136</v>
      </c>
      <c r="D222" s="6" t="s">
        <v>1137</v>
      </c>
      <c r="E222" s="6" t="s">
        <v>24</v>
      </c>
      <c r="F222" s="6" t="s">
        <v>1138</v>
      </c>
      <c r="G222" s="6" t="s">
        <v>978</v>
      </c>
    </row>
    <row r="223" spans="1:7" x14ac:dyDescent="0.25">
      <c r="A223" s="6">
        <v>222</v>
      </c>
      <c r="B223" s="6" t="s">
        <v>31</v>
      </c>
      <c r="C223" s="6" t="s">
        <v>1139</v>
      </c>
      <c r="D223" s="6" t="s">
        <v>1140</v>
      </c>
      <c r="E223" s="6" t="s">
        <v>622</v>
      </c>
      <c r="F223" s="6" t="s">
        <v>1141</v>
      </c>
      <c r="G223" s="6" t="s">
        <v>978</v>
      </c>
    </row>
    <row r="224" spans="1:7" x14ac:dyDescent="0.25">
      <c r="A224" s="6">
        <v>223</v>
      </c>
      <c r="B224" s="6" t="s">
        <v>31</v>
      </c>
      <c r="C224" s="6" t="s">
        <v>1142</v>
      </c>
      <c r="D224" s="6" t="s">
        <v>1143</v>
      </c>
      <c r="E224" s="6" t="s">
        <v>674</v>
      </c>
      <c r="F224" s="6" t="s">
        <v>1144</v>
      </c>
      <c r="G224" s="6" t="s">
        <v>1145</v>
      </c>
    </row>
    <row r="225" spans="1:7" x14ac:dyDescent="0.25">
      <c r="A225" s="6">
        <v>224</v>
      </c>
      <c r="B225" s="6" t="s">
        <v>31</v>
      </c>
      <c r="C225" s="6" t="s">
        <v>1146</v>
      </c>
      <c r="D225" s="6" t="s">
        <v>1147</v>
      </c>
      <c r="E225" s="6" t="s">
        <v>24</v>
      </c>
      <c r="F225" s="6" t="s">
        <v>1148</v>
      </c>
      <c r="G225" s="6" t="s">
        <v>1149</v>
      </c>
    </row>
    <row r="226" spans="1:7" x14ac:dyDescent="0.25">
      <c r="A226" s="6">
        <v>225</v>
      </c>
      <c r="B226" s="6" t="s">
        <v>31</v>
      </c>
      <c r="C226" s="6" t="s">
        <v>1150</v>
      </c>
      <c r="D226" s="6" t="s">
        <v>1151</v>
      </c>
      <c r="E226" s="6" t="s">
        <v>25</v>
      </c>
      <c r="F226" s="6" t="s">
        <v>1152</v>
      </c>
      <c r="G226" s="6" t="s">
        <v>93</v>
      </c>
    </row>
    <row r="227" spans="1:7" x14ac:dyDescent="0.25">
      <c r="A227" s="6">
        <v>226</v>
      </c>
      <c r="B227" s="6" t="s">
        <v>31</v>
      </c>
      <c r="C227" s="6" t="s">
        <v>1153</v>
      </c>
      <c r="D227" s="6" t="s">
        <v>1154</v>
      </c>
      <c r="E227" s="6" t="s">
        <v>584</v>
      </c>
      <c r="F227" s="6" t="s">
        <v>1155</v>
      </c>
      <c r="G227" s="6" t="s">
        <v>93</v>
      </c>
    </row>
    <row r="228" spans="1:7" x14ac:dyDescent="0.25">
      <c r="A228" s="6">
        <v>227</v>
      </c>
      <c r="B228" s="6" t="s">
        <v>31</v>
      </c>
      <c r="C228" s="6" t="s">
        <v>1156</v>
      </c>
      <c r="D228" s="6" t="s">
        <v>1157</v>
      </c>
      <c r="E228" s="6" t="s">
        <v>404</v>
      </c>
      <c r="F228" s="6" t="s">
        <v>1158</v>
      </c>
      <c r="G228" s="6" t="s">
        <v>93</v>
      </c>
    </row>
    <row r="229" spans="1:7" x14ac:dyDescent="0.25">
      <c r="A229" s="6">
        <v>228</v>
      </c>
      <c r="B229" s="6" t="s">
        <v>31</v>
      </c>
      <c r="C229" s="6" t="s">
        <v>1159</v>
      </c>
      <c r="D229" s="6" t="s">
        <v>1160</v>
      </c>
      <c r="E229" s="6" t="s">
        <v>1059</v>
      </c>
      <c r="F229" s="6" t="s">
        <v>1161</v>
      </c>
      <c r="G229" s="6" t="s">
        <v>743</v>
      </c>
    </row>
    <row r="230" spans="1:7" x14ac:dyDescent="0.25">
      <c r="A230" s="6">
        <v>229</v>
      </c>
      <c r="B230" s="6" t="s">
        <v>31</v>
      </c>
      <c r="C230" s="6" t="s">
        <v>1162</v>
      </c>
      <c r="D230" s="6" t="s">
        <v>1163</v>
      </c>
      <c r="E230" s="6" t="s">
        <v>622</v>
      </c>
      <c r="F230" s="6" t="s">
        <v>1164</v>
      </c>
      <c r="G230" s="6" t="s">
        <v>743</v>
      </c>
    </row>
    <row r="231" spans="1:7" x14ac:dyDescent="0.25">
      <c r="A231" s="6">
        <v>230</v>
      </c>
      <c r="B231" s="6" t="s">
        <v>31</v>
      </c>
      <c r="C231" s="6" t="s">
        <v>1165</v>
      </c>
      <c r="D231" s="6" t="s">
        <v>1166</v>
      </c>
      <c r="E231" s="6" t="s">
        <v>622</v>
      </c>
      <c r="F231" s="6" t="s">
        <v>1167</v>
      </c>
      <c r="G231" s="6" t="s">
        <v>743</v>
      </c>
    </row>
    <row r="232" spans="1:7" x14ac:dyDescent="0.25">
      <c r="A232" s="6">
        <v>231</v>
      </c>
      <c r="B232" s="6" t="s">
        <v>31</v>
      </c>
      <c r="C232" s="6" t="s">
        <v>1168</v>
      </c>
      <c r="D232" s="6" t="s">
        <v>1169</v>
      </c>
      <c r="E232" s="6" t="s">
        <v>584</v>
      </c>
      <c r="F232" s="6" t="s">
        <v>1170</v>
      </c>
      <c r="G232" s="6" t="s">
        <v>93</v>
      </c>
    </row>
    <row r="233" spans="1:7" x14ac:dyDescent="0.25">
      <c r="A233" s="6">
        <v>232</v>
      </c>
      <c r="B233" s="6" t="s">
        <v>31</v>
      </c>
      <c r="C233" s="6" t="s">
        <v>1171</v>
      </c>
      <c r="D233" s="6" t="s">
        <v>1172</v>
      </c>
      <c r="E233" s="6" t="s">
        <v>23</v>
      </c>
      <c r="F233" s="6" t="s">
        <v>1173</v>
      </c>
      <c r="G233" s="6" t="s">
        <v>93</v>
      </c>
    </row>
    <row r="234" spans="1:7" x14ac:dyDescent="0.25">
      <c r="A234" s="6">
        <v>233</v>
      </c>
      <c r="B234" s="6" t="s">
        <v>31</v>
      </c>
      <c r="C234" s="6" t="s">
        <v>1174</v>
      </c>
      <c r="D234" s="6" t="s">
        <v>1175</v>
      </c>
      <c r="E234" s="6" t="s">
        <v>445</v>
      </c>
      <c r="F234" s="6" t="s">
        <v>1176</v>
      </c>
      <c r="G234" s="6" t="s">
        <v>743</v>
      </c>
    </row>
    <row r="235" spans="1:7" x14ac:dyDescent="0.25">
      <c r="A235" s="6">
        <v>234</v>
      </c>
      <c r="B235" s="6" t="s">
        <v>31</v>
      </c>
      <c r="C235" s="6" t="s">
        <v>1177</v>
      </c>
      <c r="D235" s="6" t="s">
        <v>1178</v>
      </c>
      <c r="E235" s="6" t="s">
        <v>622</v>
      </c>
      <c r="F235" s="6" t="s">
        <v>1179</v>
      </c>
      <c r="G235" s="6" t="s">
        <v>743</v>
      </c>
    </row>
    <row r="236" spans="1:7" x14ac:dyDescent="0.25">
      <c r="A236" s="6">
        <v>235</v>
      </c>
      <c r="B236" s="6" t="s">
        <v>31</v>
      </c>
      <c r="C236" s="6" t="s">
        <v>1180</v>
      </c>
      <c r="D236" s="6" t="s">
        <v>1181</v>
      </c>
      <c r="E236" s="6" t="s">
        <v>445</v>
      </c>
      <c r="F236" s="6" t="s">
        <v>1182</v>
      </c>
      <c r="G236" s="6" t="s">
        <v>743</v>
      </c>
    </row>
    <row r="237" spans="1:7" x14ac:dyDescent="0.25">
      <c r="A237" s="6">
        <v>236</v>
      </c>
      <c r="B237" s="6" t="s">
        <v>31</v>
      </c>
      <c r="C237" s="6" t="s">
        <v>1183</v>
      </c>
      <c r="D237" s="6" t="s">
        <v>1184</v>
      </c>
      <c r="E237" s="6" t="s">
        <v>24</v>
      </c>
      <c r="F237" s="6" t="s">
        <v>1185</v>
      </c>
      <c r="G237" s="6" t="s">
        <v>1186</v>
      </c>
    </row>
    <row r="238" spans="1:7" x14ac:dyDescent="0.25">
      <c r="A238" s="6">
        <v>237</v>
      </c>
      <c r="B238" s="6" t="s">
        <v>31</v>
      </c>
      <c r="C238" s="6" t="s">
        <v>1187</v>
      </c>
      <c r="D238" s="6" t="s">
        <v>1188</v>
      </c>
      <c r="E238" s="6" t="s">
        <v>445</v>
      </c>
      <c r="F238" s="6" t="s">
        <v>1189</v>
      </c>
      <c r="G238" s="6" t="s">
        <v>1190</v>
      </c>
    </row>
    <row r="239" spans="1:7" x14ac:dyDescent="0.25">
      <c r="A239" s="6">
        <v>238</v>
      </c>
      <c r="B239" s="6" t="s">
        <v>31</v>
      </c>
      <c r="C239" s="6" t="s">
        <v>1191</v>
      </c>
      <c r="D239" s="6" t="s">
        <v>1192</v>
      </c>
      <c r="E239" s="6" t="s">
        <v>1059</v>
      </c>
      <c r="F239" s="6" t="s">
        <v>1193</v>
      </c>
      <c r="G239" s="6" t="s">
        <v>1194</v>
      </c>
    </row>
    <row r="240" spans="1:7" x14ac:dyDescent="0.25">
      <c r="A240" s="6">
        <v>239</v>
      </c>
      <c r="B240" s="6" t="s">
        <v>31</v>
      </c>
      <c r="C240" s="6" t="s">
        <v>1195</v>
      </c>
      <c r="D240" s="6" t="s">
        <v>1196</v>
      </c>
      <c r="E240" s="6" t="s">
        <v>23</v>
      </c>
      <c r="F240" s="6" t="s">
        <v>1197</v>
      </c>
      <c r="G240" s="6" t="s">
        <v>93</v>
      </c>
    </row>
    <row r="241" spans="1:7" x14ac:dyDescent="0.25">
      <c r="A241" s="6">
        <v>240</v>
      </c>
      <c r="B241" s="6" t="s">
        <v>31</v>
      </c>
      <c r="C241" s="6" t="s">
        <v>1198</v>
      </c>
      <c r="D241" s="6" t="s">
        <v>1199</v>
      </c>
      <c r="E241" s="6" t="s">
        <v>23</v>
      </c>
      <c r="F241" s="6" t="s">
        <v>1200</v>
      </c>
      <c r="G241" s="6" t="s">
        <v>93</v>
      </c>
    </row>
    <row r="242" spans="1:7" x14ac:dyDescent="0.25">
      <c r="A242" s="6">
        <v>241</v>
      </c>
      <c r="B242" s="6" t="s">
        <v>31</v>
      </c>
      <c r="C242" s="6" t="s">
        <v>1201</v>
      </c>
      <c r="D242" s="6" t="s">
        <v>1202</v>
      </c>
      <c r="E242" s="6" t="s">
        <v>674</v>
      </c>
      <c r="F242" s="6" t="s">
        <v>1203</v>
      </c>
      <c r="G242" s="6" t="s">
        <v>1204</v>
      </c>
    </row>
    <row r="243" spans="1:7" x14ac:dyDescent="0.25">
      <c r="A243" s="6">
        <v>242</v>
      </c>
      <c r="B243" s="6" t="s">
        <v>31</v>
      </c>
      <c r="C243" s="6" t="s">
        <v>1205</v>
      </c>
      <c r="D243" s="6" t="s">
        <v>1206</v>
      </c>
      <c r="E243" s="6" t="s">
        <v>24</v>
      </c>
      <c r="F243" s="6" t="s">
        <v>1207</v>
      </c>
      <c r="G243" s="6" t="s">
        <v>1208</v>
      </c>
    </row>
    <row r="244" spans="1:7" x14ac:dyDescent="0.25">
      <c r="A244" s="6">
        <v>243</v>
      </c>
      <c r="B244" s="6" t="s">
        <v>31</v>
      </c>
      <c r="C244" s="6" t="s">
        <v>1209</v>
      </c>
      <c r="D244" s="6" t="s">
        <v>1210</v>
      </c>
      <c r="E244" s="6" t="s">
        <v>24</v>
      </c>
      <c r="F244" s="6" t="s">
        <v>1211</v>
      </c>
      <c r="G244" s="6" t="s">
        <v>1212</v>
      </c>
    </row>
    <row r="245" spans="1:7" x14ac:dyDescent="0.25">
      <c r="A245" s="6">
        <v>244</v>
      </c>
      <c r="B245" s="6" t="s">
        <v>31</v>
      </c>
      <c r="C245" s="6" t="s">
        <v>1213</v>
      </c>
      <c r="D245" s="6" t="s">
        <v>1214</v>
      </c>
      <c r="E245" s="6" t="s">
        <v>445</v>
      </c>
      <c r="F245" s="6" t="s">
        <v>1215</v>
      </c>
      <c r="G245" s="6" t="s">
        <v>1216</v>
      </c>
    </row>
    <row r="246" spans="1:7" x14ac:dyDescent="0.25">
      <c r="A246" s="6">
        <v>245</v>
      </c>
      <c r="B246" s="6" t="s">
        <v>31</v>
      </c>
      <c r="C246" s="6" t="s">
        <v>1217</v>
      </c>
      <c r="D246" s="6" t="s">
        <v>1218</v>
      </c>
      <c r="E246" s="6" t="s">
        <v>584</v>
      </c>
      <c r="F246" s="6" t="s">
        <v>1219</v>
      </c>
      <c r="G246" s="6" t="s">
        <v>93</v>
      </c>
    </row>
    <row r="247" spans="1:7" x14ac:dyDescent="0.25">
      <c r="A247" s="6">
        <v>246</v>
      </c>
      <c r="B247" s="6" t="s">
        <v>31</v>
      </c>
      <c r="C247" s="6" t="s">
        <v>1220</v>
      </c>
      <c r="D247" s="6" t="s">
        <v>1221</v>
      </c>
      <c r="E247" s="6" t="s">
        <v>23</v>
      </c>
      <c r="F247" s="6" t="s">
        <v>1222</v>
      </c>
      <c r="G247" s="6" t="s">
        <v>93</v>
      </c>
    </row>
    <row r="248" spans="1:7" x14ac:dyDescent="0.25">
      <c r="A248" s="6">
        <v>247</v>
      </c>
      <c r="B248" s="6" t="s">
        <v>31</v>
      </c>
      <c r="C248" s="6" t="s">
        <v>1223</v>
      </c>
      <c r="D248" s="6" t="s">
        <v>1224</v>
      </c>
      <c r="E248" s="6" t="s">
        <v>404</v>
      </c>
      <c r="F248" s="6" t="s">
        <v>1225</v>
      </c>
      <c r="G248" s="6" t="s">
        <v>93</v>
      </c>
    </row>
    <row r="249" spans="1:7" x14ac:dyDescent="0.25">
      <c r="A249" s="6">
        <v>248</v>
      </c>
      <c r="B249" s="6" t="s">
        <v>31</v>
      </c>
      <c r="C249" s="6" t="s">
        <v>1226</v>
      </c>
      <c r="D249" s="6" t="s">
        <v>1227</v>
      </c>
      <c r="E249" s="6" t="s">
        <v>24</v>
      </c>
      <c r="F249" s="6" t="s">
        <v>1228</v>
      </c>
      <c r="G249" s="6" t="s">
        <v>743</v>
      </c>
    </row>
    <row r="250" spans="1:7" x14ac:dyDescent="0.25">
      <c r="A250" s="6">
        <v>249</v>
      </c>
      <c r="B250" s="6" t="s">
        <v>31</v>
      </c>
      <c r="C250" s="6" t="s">
        <v>1229</v>
      </c>
      <c r="D250" s="6" t="s">
        <v>1230</v>
      </c>
      <c r="E250" s="6" t="s">
        <v>445</v>
      </c>
      <c r="F250" s="6" t="s">
        <v>1231</v>
      </c>
      <c r="G250" s="6" t="s">
        <v>1232</v>
      </c>
    </row>
    <row r="251" spans="1:7" x14ac:dyDescent="0.25">
      <c r="A251" s="6">
        <v>250</v>
      </c>
      <c r="B251" s="6" t="s">
        <v>31</v>
      </c>
      <c r="C251" s="6" t="s">
        <v>1233</v>
      </c>
      <c r="D251" s="6" t="s">
        <v>1234</v>
      </c>
      <c r="E251" s="6" t="s">
        <v>445</v>
      </c>
      <c r="F251" s="6" t="s">
        <v>1235</v>
      </c>
      <c r="G251" s="6" t="s">
        <v>1236</v>
      </c>
    </row>
    <row r="252" spans="1:7" x14ac:dyDescent="0.25">
      <c r="A252" s="6">
        <v>251</v>
      </c>
      <c r="B252" s="6" t="s">
        <v>31</v>
      </c>
      <c r="C252" s="6" t="s">
        <v>1237</v>
      </c>
      <c r="D252" s="6" t="s">
        <v>1238</v>
      </c>
      <c r="E252" s="6" t="s">
        <v>24</v>
      </c>
      <c r="F252" s="6" t="s">
        <v>1239</v>
      </c>
      <c r="G252" s="6" t="s">
        <v>1240</v>
      </c>
    </row>
    <row r="253" spans="1:7" x14ac:dyDescent="0.25">
      <c r="A253" s="6">
        <v>252</v>
      </c>
      <c r="B253" s="6" t="s">
        <v>31</v>
      </c>
      <c r="C253" s="6" t="s">
        <v>1241</v>
      </c>
      <c r="D253" s="6" t="s">
        <v>1242</v>
      </c>
      <c r="E253" s="6" t="s">
        <v>24</v>
      </c>
      <c r="F253" s="6" t="s">
        <v>1243</v>
      </c>
      <c r="G253" s="6" t="s">
        <v>722</v>
      </c>
    </row>
    <row r="254" spans="1:7" x14ac:dyDescent="0.25">
      <c r="A254" s="6">
        <v>253</v>
      </c>
      <c r="B254" s="6" t="s">
        <v>31</v>
      </c>
      <c r="C254" s="6" t="s">
        <v>1244</v>
      </c>
      <c r="D254" s="6" t="s">
        <v>1245</v>
      </c>
      <c r="E254" s="6" t="s">
        <v>622</v>
      </c>
      <c r="F254" s="6" t="s">
        <v>1246</v>
      </c>
      <c r="G254" s="6" t="s">
        <v>1247</v>
      </c>
    </row>
    <row r="255" spans="1:7" x14ac:dyDescent="0.25">
      <c r="A255" s="6">
        <v>254</v>
      </c>
      <c r="B255" s="6" t="s">
        <v>31</v>
      </c>
      <c r="C255" s="6" t="s">
        <v>1248</v>
      </c>
      <c r="D255" s="6" t="s">
        <v>1249</v>
      </c>
      <c r="E255" s="6" t="s">
        <v>404</v>
      </c>
      <c r="F255" s="6" t="s">
        <v>1250</v>
      </c>
      <c r="G255" s="6" t="s">
        <v>93</v>
      </c>
    </row>
    <row r="256" spans="1:7" x14ac:dyDescent="0.25">
      <c r="A256" s="6">
        <v>255</v>
      </c>
      <c r="B256" s="6" t="s">
        <v>31</v>
      </c>
      <c r="C256" s="6" t="s">
        <v>1251</v>
      </c>
      <c r="D256" s="6" t="s">
        <v>1252</v>
      </c>
      <c r="E256" s="6" t="s">
        <v>674</v>
      </c>
      <c r="F256" s="6" t="s">
        <v>1253</v>
      </c>
      <c r="G256" s="6" t="s">
        <v>743</v>
      </c>
    </row>
    <row r="257" spans="1:7" x14ac:dyDescent="0.25">
      <c r="A257" s="6">
        <v>256</v>
      </c>
      <c r="B257" s="6" t="s">
        <v>31</v>
      </c>
      <c r="C257" s="6" t="s">
        <v>1254</v>
      </c>
      <c r="D257" s="6" t="s">
        <v>1255</v>
      </c>
      <c r="E257" s="6" t="s">
        <v>24</v>
      </c>
      <c r="F257" s="6" t="s">
        <v>1256</v>
      </c>
      <c r="G257" s="6" t="s">
        <v>1257</v>
      </c>
    </row>
    <row r="258" spans="1:7" x14ac:dyDescent="0.25">
      <c r="A258" s="6">
        <v>257</v>
      </c>
      <c r="B258" s="6" t="s">
        <v>31</v>
      </c>
      <c r="C258" s="6" t="s">
        <v>1258</v>
      </c>
      <c r="D258" s="6" t="s">
        <v>1259</v>
      </c>
      <c r="E258" s="6" t="s">
        <v>24</v>
      </c>
      <c r="F258" s="6" t="s">
        <v>1260</v>
      </c>
      <c r="G258" s="6" t="s">
        <v>743</v>
      </c>
    </row>
    <row r="259" spans="1:7" x14ac:dyDescent="0.25">
      <c r="A259" s="6">
        <v>258</v>
      </c>
      <c r="B259" s="6" t="s">
        <v>31</v>
      </c>
      <c r="C259" s="6" t="s">
        <v>1261</v>
      </c>
      <c r="D259" s="6" t="s">
        <v>1262</v>
      </c>
      <c r="E259" s="6" t="s">
        <v>674</v>
      </c>
      <c r="F259" s="6" t="s">
        <v>1263</v>
      </c>
      <c r="G259" s="6" t="s">
        <v>1264</v>
      </c>
    </row>
    <row r="260" spans="1:7" x14ac:dyDescent="0.25">
      <c r="A260" s="6">
        <v>259</v>
      </c>
      <c r="B260" s="6" t="s">
        <v>31</v>
      </c>
      <c r="C260" s="6" t="s">
        <v>1265</v>
      </c>
      <c r="D260" s="6" t="s">
        <v>1266</v>
      </c>
      <c r="E260" s="6" t="s">
        <v>24</v>
      </c>
      <c r="F260" s="6" t="s">
        <v>1267</v>
      </c>
      <c r="G260" s="6" t="s">
        <v>1037</v>
      </c>
    </row>
    <row r="261" spans="1:7" x14ac:dyDescent="0.25">
      <c r="A261" s="6">
        <v>260</v>
      </c>
      <c r="B261" s="6" t="s">
        <v>31</v>
      </c>
      <c r="C261" s="6" t="s">
        <v>1268</v>
      </c>
      <c r="D261" s="6" t="s">
        <v>1269</v>
      </c>
      <c r="E261" s="6" t="s">
        <v>584</v>
      </c>
      <c r="F261" s="6" t="s">
        <v>1270</v>
      </c>
      <c r="G261" s="6" t="s">
        <v>93</v>
      </c>
    </row>
    <row r="262" spans="1:7" x14ac:dyDescent="0.25">
      <c r="A262" s="6">
        <v>261</v>
      </c>
      <c r="B262" s="6" t="s">
        <v>31</v>
      </c>
      <c r="C262" s="6" t="s">
        <v>1271</v>
      </c>
      <c r="D262" s="6" t="s">
        <v>1272</v>
      </c>
      <c r="E262" s="6" t="s">
        <v>24</v>
      </c>
      <c r="F262" s="6" t="s">
        <v>1273</v>
      </c>
      <c r="G262" s="6" t="s">
        <v>1274</v>
      </c>
    </row>
    <row r="263" spans="1:7" x14ac:dyDescent="0.25">
      <c r="A263" s="6">
        <v>262</v>
      </c>
      <c r="B263" s="6" t="s">
        <v>31</v>
      </c>
      <c r="C263" s="6" t="s">
        <v>1275</v>
      </c>
      <c r="D263" s="6" t="s">
        <v>1276</v>
      </c>
      <c r="E263" s="6" t="s">
        <v>24</v>
      </c>
      <c r="F263" s="6" t="s">
        <v>1277</v>
      </c>
      <c r="G263" s="6" t="s">
        <v>1278</v>
      </c>
    </row>
    <row r="264" spans="1:7" x14ac:dyDescent="0.25">
      <c r="A264" s="6">
        <v>263</v>
      </c>
      <c r="B264" s="6" t="s">
        <v>31</v>
      </c>
      <c r="C264" s="6" t="s">
        <v>1279</v>
      </c>
      <c r="D264" s="6" t="s">
        <v>1280</v>
      </c>
      <c r="E264" s="6" t="s">
        <v>24</v>
      </c>
      <c r="F264" s="6" t="s">
        <v>1281</v>
      </c>
      <c r="G264" s="6" t="s">
        <v>743</v>
      </c>
    </row>
    <row r="265" spans="1:7" x14ac:dyDescent="0.25">
      <c r="A265" s="6">
        <v>264</v>
      </c>
      <c r="B265" s="6" t="s">
        <v>31</v>
      </c>
      <c r="C265" s="6" t="s">
        <v>1282</v>
      </c>
      <c r="D265" s="6" t="s">
        <v>1283</v>
      </c>
      <c r="E265" s="6" t="s">
        <v>461</v>
      </c>
      <c r="F265" s="6" t="s">
        <v>1284</v>
      </c>
      <c r="G265" s="6" t="s">
        <v>93</v>
      </c>
    </row>
    <row r="266" spans="1:7" x14ac:dyDescent="0.25">
      <c r="A266" s="6">
        <v>265</v>
      </c>
      <c r="B266" s="6" t="s">
        <v>31</v>
      </c>
      <c r="C266" s="6" t="s">
        <v>1285</v>
      </c>
      <c r="D266" s="6" t="s">
        <v>1286</v>
      </c>
      <c r="E266" s="6" t="s">
        <v>24</v>
      </c>
      <c r="F266" s="6" t="s">
        <v>1287</v>
      </c>
      <c r="G266" s="6" t="s">
        <v>1288</v>
      </c>
    </row>
    <row r="267" spans="1:7" x14ac:dyDescent="0.25">
      <c r="A267" s="6">
        <v>266</v>
      </c>
      <c r="B267" s="6" t="s">
        <v>31</v>
      </c>
      <c r="C267" s="6" t="s">
        <v>1289</v>
      </c>
      <c r="D267" s="6" t="s">
        <v>1290</v>
      </c>
      <c r="E267" s="6" t="s">
        <v>24</v>
      </c>
      <c r="F267" s="6" t="s">
        <v>1291</v>
      </c>
      <c r="G267" s="6" t="s">
        <v>1292</v>
      </c>
    </row>
    <row r="268" spans="1:7" x14ac:dyDescent="0.25">
      <c r="A268" s="6">
        <v>267</v>
      </c>
      <c r="B268" s="6" t="s">
        <v>31</v>
      </c>
      <c r="C268" s="6" t="s">
        <v>1293</v>
      </c>
      <c r="D268" s="6" t="s">
        <v>1294</v>
      </c>
      <c r="E268" s="6" t="s">
        <v>24</v>
      </c>
      <c r="F268" s="6" t="s">
        <v>1295</v>
      </c>
      <c r="G268" s="6" t="s">
        <v>1296</v>
      </c>
    </row>
    <row r="269" spans="1:7" x14ac:dyDescent="0.25">
      <c r="A269" s="6">
        <v>268</v>
      </c>
      <c r="B269" s="6" t="s">
        <v>31</v>
      </c>
      <c r="C269" s="6" t="s">
        <v>1297</v>
      </c>
      <c r="D269" s="6" t="s">
        <v>1298</v>
      </c>
      <c r="E269" s="6" t="s">
        <v>24</v>
      </c>
      <c r="F269" s="6" t="s">
        <v>1299</v>
      </c>
      <c r="G269" s="6" t="s">
        <v>1300</v>
      </c>
    </row>
    <row r="270" spans="1:7" x14ac:dyDescent="0.25">
      <c r="A270" s="6">
        <v>269</v>
      </c>
      <c r="B270" s="6" t="s">
        <v>31</v>
      </c>
      <c r="C270" s="6" t="s">
        <v>1301</v>
      </c>
      <c r="D270" s="6" t="s">
        <v>1302</v>
      </c>
      <c r="E270" s="6" t="s">
        <v>622</v>
      </c>
      <c r="F270" s="6" t="s">
        <v>1303</v>
      </c>
      <c r="G270" s="6" t="s">
        <v>1304</v>
      </c>
    </row>
    <row r="271" spans="1:7" x14ac:dyDescent="0.25">
      <c r="A271" s="6">
        <v>270</v>
      </c>
      <c r="B271" s="6" t="s">
        <v>31</v>
      </c>
      <c r="C271" s="6" t="s">
        <v>1305</v>
      </c>
      <c r="D271" s="6" t="s">
        <v>1306</v>
      </c>
      <c r="E271" s="6" t="s">
        <v>24</v>
      </c>
      <c r="F271" s="6" t="s">
        <v>1307</v>
      </c>
      <c r="G271" s="6" t="s">
        <v>1308</v>
      </c>
    </row>
    <row r="272" spans="1:7" x14ac:dyDescent="0.25">
      <c r="A272" s="6">
        <v>271</v>
      </c>
      <c r="B272" s="6" t="s">
        <v>31</v>
      </c>
      <c r="C272" s="6" t="s">
        <v>1309</v>
      </c>
      <c r="D272" s="6" t="s">
        <v>1310</v>
      </c>
      <c r="E272" s="6" t="s">
        <v>24</v>
      </c>
      <c r="F272" s="6" t="s">
        <v>1311</v>
      </c>
      <c r="G272" s="6" t="s">
        <v>1312</v>
      </c>
    </row>
    <row r="273" spans="1:7" x14ac:dyDescent="0.25">
      <c r="A273" s="6">
        <v>272</v>
      </c>
      <c r="B273" s="6" t="s">
        <v>31</v>
      </c>
      <c r="C273" s="6" t="s">
        <v>1313</v>
      </c>
      <c r="D273" s="6" t="s">
        <v>1314</v>
      </c>
      <c r="E273" s="6" t="s">
        <v>404</v>
      </c>
      <c r="F273" s="6" t="s">
        <v>1315</v>
      </c>
      <c r="G273" s="6" t="s">
        <v>93</v>
      </c>
    </row>
    <row r="274" spans="1:7" x14ac:dyDescent="0.25">
      <c r="A274" s="6">
        <v>273</v>
      </c>
      <c r="B274" s="6" t="s">
        <v>31</v>
      </c>
      <c r="C274" s="6" t="s">
        <v>1316</v>
      </c>
      <c r="D274" s="6" t="s">
        <v>1317</v>
      </c>
      <c r="E274" s="6" t="s">
        <v>24</v>
      </c>
      <c r="F274" s="6" t="s">
        <v>1318</v>
      </c>
      <c r="G274" s="6" t="s">
        <v>1319</v>
      </c>
    </row>
    <row r="275" spans="1:7" x14ac:dyDescent="0.25">
      <c r="A275" s="6">
        <v>274</v>
      </c>
      <c r="B275" s="6" t="s">
        <v>31</v>
      </c>
      <c r="C275" s="6" t="s">
        <v>1320</v>
      </c>
      <c r="D275" s="6" t="s">
        <v>1321</v>
      </c>
      <c r="E275" s="6" t="s">
        <v>674</v>
      </c>
      <c r="F275" s="6" t="s">
        <v>1322</v>
      </c>
      <c r="G275" s="6" t="s">
        <v>1323</v>
      </c>
    </row>
    <row r="276" spans="1:7" x14ac:dyDescent="0.25">
      <c r="A276" s="6">
        <v>275</v>
      </c>
      <c r="B276" s="6" t="s">
        <v>31</v>
      </c>
      <c r="C276" s="6" t="s">
        <v>1324</v>
      </c>
      <c r="D276" s="6" t="s">
        <v>1325</v>
      </c>
      <c r="E276" s="6" t="s">
        <v>24</v>
      </c>
      <c r="F276" s="6" t="s">
        <v>1326</v>
      </c>
      <c r="G276" s="6" t="s">
        <v>1327</v>
      </c>
    </row>
    <row r="277" spans="1:7" x14ac:dyDescent="0.25">
      <c r="A277" s="6">
        <v>276</v>
      </c>
      <c r="B277" s="6" t="s">
        <v>31</v>
      </c>
      <c r="C277" s="6" t="s">
        <v>1328</v>
      </c>
      <c r="D277" s="6" t="s">
        <v>1329</v>
      </c>
      <c r="E277" s="6" t="s">
        <v>25</v>
      </c>
      <c r="F277" s="6" t="s">
        <v>1330</v>
      </c>
      <c r="G277" s="6" t="s">
        <v>93</v>
      </c>
    </row>
    <row r="278" spans="1:7" x14ac:dyDescent="0.25">
      <c r="A278" s="6">
        <v>277</v>
      </c>
      <c r="B278" s="6" t="s">
        <v>31</v>
      </c>
      <c r="C278" s="6" t="s">
        <v>1331</v>
      </c>
      <c r="D278" s="6" t="s">
        <v>1332</v>
      </c>
      <c r="E278" s="6" t="s">
        <v>396</v>
      </c>
      <c r="F278" s="6" t="s">
        <v>1333</v>
      </c>
      <c r="G278" s="6" t="s">
        <v>93</v>
      </c>
    </row>
    <row r="279" spans="1:7" x14ac:dyDescent="0.25">
      <c r="A279" s="6">
        <v>278</v>
      </c>
      <c r="B279" s="6" t="s">
        <v>31</v>
      </c>
      <c r="C279" s="6" t="s">
        <v>1334</v>
      </c>
      <c r="D279" s="6" t="s">
        <v>1335</v>
      </c>
      <c r="E279" s="6" t="s">
        <v>24</v>
      </c>
      <c r="F279" s="6" t="s">
        <v>1336</v>
      </c>
      <c r="G279" s="6" t="s">
        <v>743</v>
      </c>
    </row>
    <row r="280" spans="1:7" x14ac:dyDescent="0.25">
      <c r="A280" s="6">
        <v>279</v>
      </c>
      <c r="B280" s="6" t="s">
        <v>31</v>
      </c>
      <c r="C280" s="6" t="s">
        <v>1337</v>
      </c>
      <c r="D280" s="6" t="s">
        <v>1338</v>
      </c>
      <c r="E280" s="6" t="s">
        <v>622</v>
      </c>
      <c r="F280" s="6" t="s">
        <v>1339</v>
      </c>
      <c r="G280" s="6" t="s">
        <v>1340</v>
      </c>
    </row>
    <row r="281" spans="1:7" x14ac:dyDescent="0.25">
      <c r="A281" s="6">
        <v>280</v>
      </c>
      <c r="B281" s="6" t="s">
        <v>31</v>
      </c>
      <c r="C281" s="6" t="s">
        <v>1341</v>
      </c>
      <c r="D281" s="6" t="s">
        <v>1342</v>
      </c>
      <c r="E281" s="6" t="s">
        <v>24</v>
      </c>
      <c r="F281" s="6" t="s">
        <v>1343</v>
      </c>
      <c r="G281" s="6" t="s">
        <v>1344</v>
      </c>
    </row>
    <row r="282" spans="1:7" x14ac:dyDescent="0.25">
      <c r="A282" s="6">
        <v>281</v>
      </c>
      <c r="B282" s="6" t="s">
        <v>31</v>
      </c>
      <c r="C282" s="6" t="s">
        <v>1345</v>
      </c>
      <c r="D282" s="6" t="s">
        <v>1346</v>
      </c>
      <c r="E282" s="6" t="s">
        <v>445</v>
      </c>
      <c r="F282" s="6" t="s">
        <v>1347</v>
      </c>
      <c r="G282" s="6" t="s">
        <v>1348</v>
      </c>
    </row>
    <row r="283" spans="1:7" x14ac:dyDescent="0.25">
      <c r="A283" s="6">
        <v>282</v>
      </c>
      <c r="B283" s="6" t="s">
        <v>31</v>
      </c>
      <c r="C283" s="6" t="s">
        <v>1349</v>
      </c>
      <c r="D283" s="6" t="s">
        <v>1350</v>
      </c>
      <c r="E283" s="6" t="s">
        <v>24</v>
      </c>
      <c r="F283" s="6" t="s">
        <v>1351</v>
      </c>
      <c r="G283" s="6" t="s">
        <v>1352</v>
      </c>
    </row>
    <row r="284" spans="1:7" x14ac:dyDescent="0.25">
      <c r="A284" s="6">
        <v>283</v>
      </c>
      <c r="B284" s="6" t="s">
        <v>31</v>
      </c>
      <c r="C284" s="6" t="s">
        <v>1353</v>
      </c>
      <c r="D284" s="6" t="s">
        <v>1354</v>
      </c>
      <c r="E284" s="6" t="s">
        <v>24</v>
      </c>
      <c r="F284" s="6" t="s">
        <v>1355</v>
      </c>
      <c r="G284" s="6" t="s">
        <v>1356</v>
      </c>
    </row>
    <row r="285" spans="1:7" x14ac:dyDescent="0.25">
      <c r="A285" s="6">
        <v>284</v>
      </c>
      <c r="B285" s="6" t="s">
        <v>31</v>
      </c>
      <c r="C285" s="6" t="s">
        <v>1357</v>
      </c>
      <c r="D285" s="6" t="s">
        <v>1358</v>
      </c>
      <c r="E285" s="6" t="s">
        <v>25</v>
      </c>
      <c r="F285" s="6" t="s">
        <v>1359</v>
      </c>
      <c r="G285" s="6" t="s">
        <v>93</v>
      </c>
    </row>
    <row r="286" spans="1:7" x14ac:dyDescent="0.25">
      <c r="A286" s="6">
        <v>285</v>
      </c>
      <c r="B286" s="6" t="s">
        <v>31</v>
      </c>
      <c r="C286" s="6" t="s">
        <v>1360</v>
      </c>
      <c r="D286" s="6" t="s">
        <v>1361</v>
      </c>
      <c r="E286" s="6" t="s">
        <v>1059</v>
      </c>
      <c r="F286" s="6" t="s">
        <v>1362</v>
      </c>
      <c r="G286" s="6" t="s">
        <v>978</v>
      </c>
    </row>
    <row r="287" spans="1:7" x14ac:dyDescent="0.25">
      <c r="A287" s="6">
        <v>286</v>
      </c>
      <c r="B287" s="6" t="s">
        <v>31</v>
      </c>
      <c r="C287" s="6" t="s">
        <v>1363</v>
      </c>
      <c r="D287" s="6" t="s">
        <v>1364</v>
      </c>
      <c r="E287" s="6" t="s">
        <v>450</v>
      </c>
      <c r="F287" s="6" t="s">
        <v>1365</v>
      </c>
      <c r="G287" s="6" t="s">
        <v>1366</v>
      </c>
    </row>
    <row r="288" spans="1:7" x14ac:dyDescent="0.25">
      <c r="A288" s="6">
        <v>287</v>
      </c>
      <c r="B288" s="6" t="s">
        <v>31</v>
      </c>
      <c r="C288" s="6" t="s">
        <v>1367</v>
      </c>
      <c r="D288" s="6" t="s">
        <v>1368</v>
      </c>
      <c r="E288" s="6" t="s">
        <v>674</v>
      </c>
      <c r="F288" s="6" t="s">
        <v>1369</v>
      </c>
      <c r="G288" s="6" t="s">
        <v>1370</v>
      </c>
    </row>
    <row r="289" spans="1:7" x14ac:dyDescent="0.25">
      <c r="A289" s="6">
        <v>288</v>
      </c>
      <c r="B289" s="6" t="s">
        <v>31</v>
      </c>
      <c r="C289" s="6" t="s">
        <v>1371</v>
      </c>
      <c r="D289" s="6" t="s">
        <v>1372</v>
      </c>
      <c r="E289" s="6" t="s">
        <v>674</v>
      </c>
      <c r="F289" s="6" t="s">
        <v>1373</v>
      </c>
      <c r="G289" s="6" t="s">
        <v>1374</v>
      </c>
    </row>
    <row r="290" spans="1:7" x14ac:dyDescent="0.25">
      <c r="A290" s="6">
        <v>289</v>
      </c>
      <c r="B290" s="6" t="s">
        <v>31</v>
      </c>
      <c r="C290" s="6" t="s">
        <v>1375</v>
      </c>
      <c r="D290" s="6" t="s">
        <v>1376</v>
      </c>
      <c r="E290" s="6" t="s">
        <v>24</v>
      </c>
      <c r="F290" s="6" t="s">
        <v>1377</v>
      </c>
      <c r="G290" s="6" t="s">
        <v>1378</v>
      </c>
    </row>
    <row r="291" spans="1:7" x14ac:dyDescent="0.25">
      <c r="A291" s="6">
        <v>290</v>
      </c>
      <c r="B291" s="6" t="s">
        <v>31</v>
      </c>
      <c r="C291" s="6" t="s">
        <v>1379</v>
      </c>
      <c r="D291" s="6" t="s">
        <v>1380</v>
      </c>
      <c r="E291" s="6" t="s">
        <v>584</v>
      </c>
      <c r="F291" s="6" t="s">
        <v>1381</v>
      </c>
      <c r="G291" s="6" t="s">
        <v>93</v>
      </c>
    </row>
    <row r="292" spans="1:7" x14ac:dyDescent="0.25">
      <c r="A292" s="6">
        <v>291</v>
      </c>
      <c r="B292" s="6" t="s">
        <v>31</v>
      </c>
      <c r="C292" s="6" t="s">
        <v>1382</v>
      </c>
      <c r="D292" s="6" t="s">
        <v>1383</v>
      </c>
      <c r="E292" s="6" t="s">
        <v>24</v>
      </c>
      <c r="F292" s="6" t="s">
        <v>1384</v>
      </c>
      <c r="G292" s="6" t="s">
        <v>1385</v>
      </c>
    </row>
    <row r="293" spans="1:7" x14ac:dyDescent="0.25">
      <c r="A293" s="6">
        <v>292</v>
      </c>
      <c r="B293" s="6" t="s">
        <v>31</v>
      </c>
      <c r="C293" s="6" t="s">
        <v>1386</v>
      </c>
      <c r="D293" s="6" t="s">
        <v>1387</v>
      </c>
      <c r="E293" s="6" t="s">
        <v>404</v>
      </c>
      <c r="F293" s="6" t="s">
        <v>1388</v>
      </c>
      <c r="G293" s="6" t="s">
        <v>93</v>
      </c>
    </row>
    <row r="294" spans="1:7" x14ac:dyDescent="0.25">
      <c r="A294" s="6">
        <v>293</v>
      </c>
      <c r="B294" s="6" t="s">
        <v>31</v>
      </c>
      <c r="C294" s="6" t="s">
        <v>1389</v>
      </c>
      <c r="D294" s="6" t="s">
        <v>1390</v>
      </c>
      <c r="E294" s="6" t="s">
        <v>25</v>
      </c>
      <c r="F294" s="6" t="s">
        <v>1391</v>
      </c>
      <c r="G294" s="6" t="s">
        <v>93</v>
      </c>
    </row>
    <row r="295" spans="1:7" x14ac:dyDescent="0.25">
      <c r="A295" s="6">
        <v>294</v>
      </c>
      <c r="B295" s="6" t="s">
        <v>31</v>
      </c>
      <c r="C295" s="6" t="s">
        <v>1392</v>
      </c>
      <c r="D295" s="6" t="s">
        <v>1393</v>
      </c>
      <c r="E295" s="6" t="s">
        <v>24</v>
      </c>
      <c r="F295" s="6" t="s">
        <v>1394</v>
      </c>
      <c r="G295" s="6" t="s">
        <v>1395</v>
      </c>
    </row>
    <row r="296" spans="1:7" x14ac:dyDescent="0.25">
      <c r="A296" s="6">
        <v>295</v>
      </c>
      <c r="B296" s="6" t="s">
        <v>31</v>
      </c>
      <c r="C296" s="6" t="s">
        <v>1396</v>
      </c>
      <c r="D296" s="6" t="s">
        <v>1397</v>
      </c>
      <c r="E296" s="6" t="s">
        <v>584</v>
      </c>
      <c r="F296" s="6" t="s">
        <v>1398</v>
      </c>
      <c r="G296" s="6" t="s">
        <v>93</v>
      </c>
    </row>
    <row r="297" spans="1:7" x14ac:dyDescent="0.25">
      <c r="A297" s="6">
        <v>296</v>
      </c>
      <c r="B297" s="6" t="s">
        <v>31</v>
      </c>
      <c r="C297" s="6" t="s">
        <v>1399</v>
      </c>
      <c r="D297" s="6" t="s">
        <v>1400</v>
      </c>
      <c r="E297" s="6" t="s">
        <v>24</v>
      </c>
      <c r="F297" s="6" t="s">
        <v>1401</v>
      </c>
      <c r="G297" s="6" t="s">
        <v>1402</v>
      </c>
    </row>
    <row r="298" spans="1:7" x14ac:dyDescent="0.25">
      <c r="A298" s="6">
        <v>297</v>
      </c>
      <c r="B298" s="6" t="s">
        <v>31</v>
      </c>
      <c r="C298" s="6" t="s">
        <v>1403</v>
      </c>
      <c r="D298" s="6" t="s">
        <v>1404</v>
      </c>
      <c r="E298" s="6" t="s">
        <v>24</v>
      </c>
      <c r="F298" s="6" t="s">
        <v>1405</v>
      </c>
      <c r="G298" s="6" t="s">
        <v>888</v>
      </c>
    </row>
    <row r="299" spans="1:7" x14ac:dyDescent="0.25">
      <c r="A299" s="6">
        <v>298</v>
      </c>
      <c r="B299" s="6" t="s">
        <v>31</v>
      </c>
      <c r="C299" s="6" t="s">
        <v>1406</v>
      </c>
      <c r="D299" s="6" t="s">
        <v>1407</v>
      </c>
      <c r="E299" s="6" t="s">
        <v>24</v>
      </c>
      <c r="F299" s="6" t="s">
        <v>1408</v>
      </c>
      <c r="G299" s="6" t="s">
        <v>1409</v>
      </c>
    </row>
    <row r="300" spans="1:7" x14ac:dyDescent="0.25">
      <c r="A300" s="6">
        <v>299</v>
      </c>
      <c r="B300" s="6" t="s">
        <v>31</v>
      </c>
      <c r="C300" s="6" t="s">
        <v>1410</v>
      </c>
      <c r="D300" s="6" t="s">
        <v>1411</v>
      </c>
      <c r="E300" s="6" t="s">
        <v>396</v>
      </c>
      <c r="F300" s="6" t="s">
        <v>1412</v>
      </c>
      <c r="G300" s="6" t="s">
        <v>93</v>
      </c>
    </row>
    <row r="301" spans="1:7" x14ac:dyDescent="0.25">
      <c r="A301" s="6">
        <v>300</v>
      </c>
      <c r="B301" s="6" t="s">
        <v>31</v>
      </c>
      <c r="C301" s="6" t="s">
        <v>1413</v>
      </c>
      <c r="D301" s="6" t="s">
        <v>1414</v>
      </c>
      <c r="E301" s="6" t="s">
        <v>450</v>
      </c>
      <c r="F301" s="6" t="s">
        <v>1415</v>
      </c>
      <c r="G301" s="6" t="s">
        <v>743</v>
      </c>
    </row>
    <row r="302" spans="1:7" x14ac:dyDescent="0.25">
      <c r="A302" s="6">
        <v>301</v>
      </c>
      <c r="B302" s="6" t="s">
        <v>31</v>
      </c>
      <c r="C302" s="6" t="s">
        <v>1416</v>
      </c>
      <c r="D302" s="6" t="s">
        <v>1417</v>
      </c>
      <c r="E302" s="6" t="s">
        <v>445</v>
      </c>
      <c r="F302" s="6" t="s">
        <v>1418</v>
      </c>
      <c r="G302" s="6" t="s">
        <v>1419</v>
      </c>
    </row>
    <row r="303" spans="1:7" x14ac:dyDescent="0.25">
      <c r="A303" s="6">
        <v>302</v>
      </c>
      <c r="B303" s="6" t="s">
        <v>31</v>
      </c>
      <c r="C303" s="6" t="s">
        <v>1420</v>
      </c>
      <c r="D303" s="6" t="s">
        <v>1421</v>
      </c>
      <c r="E303" s="6" t="s">
        <v>404</v>
      </c>
      <c r="F303" s="6" t="s">
        <v>1422</v>
      </c>
      <c r="G303" s="6" t="s">
        <v>93</v>
      </c>
    </row>
    <row r="304" spans="1:7" x14ac:dyDescent="0.25">
      <c r="A304" s="6">
        <v>303</v>
      </c>
      <c r="B304" s="6" t="s">
        <v>31</v>
      </c>
      <c r="C304" s="6" t="s">
        <v>1423</v>
      </c>
      <c r="D304" s="6" t="s">
        <v>1424</v>
      </c>
      <c r="E304" s="6" t="s">
        <v>445</v>
      </c>
      <c r="F304" s="6" t="s">
        <v>1425</v>
      </c>
      <c r="G304" s="6" t="s">
        <v>1426</v>
      </c>
    </row>
    <row r="305" spans="1:7" x14ac:dyDescent="0.25">
      <c r="A305" s="6">
        <v>304</v>
      </c>
      <c r="B305" s="6" t="s">
        <v>31</v>
      </c>
      <c r="C305" s="6" t="s">
        <v>1427</v>
      </c>
      <c r="D305" s="6" t="s">
        <v>1428</v>
      </c>
      <c r="E305" s="6" t="s">
        <v>584</v>
      </c>
      <c r="F305" s="6" t="s">
        <v>1429</v>
      </c>
      <c r="G305" s="6" t="s">
        <v>93</v>
      </c>
    </row>
    <row r="306" spans="1:7" x14ac:dyDescent="0.25">
      <c r="A306" s="6">
        <v>305</v>
      </c>
      <c r="B306" s="6" t="s">
        <v>31</v>
      </c>
      <c r="C306" s="6" t="s">
        <v>1430</v>
      </c>
      <c r="D306" s="6" t="s">
        <v>1431</v>
      </c>
      <c r="E306" s="6" t="s">
        <v>674</v>
      </c>
      <c r="F306" s="6" t="s">
        <v>1432</v>
      </c>
      <c r="G306" s="6" t="s">
        <v>1433</v>
      </c>
    </row>
    <row r="307" spans="1:7" x14ac:dyDescent="0.25">
      <c r="A307" s="6">
        <v>306</v>
      </c>
      <c r="B307" s="6" t="s">
        <v>31</v>
      </c>
      <c r="C307" s="6" t="s">
        <v>1434</v>
      </c>
      <c r="D307" s="6" t="s">
        <v>1435</v>
      </c>
      <c r="E307" s="6" t="s">
        <v>24</v>
      </c>
      <c r="F307" s="6" t="s">
        <v>1436</v>
      </c>
      <c r="G307" s="6" t="s">
        <v>1437</v>
      </c>
    </row>
    <row r="308" spans="1:7" x14ac:dyDescent="0.25">
      <c r="A308" s="6">
        <v>307</v>
      </c>
      <c r="B308" s="6" t="s">
        <v>31</v>
      </c>
      <c r="C308" s="6" t="s">
        <v>1438</v>
      </c>
      <c r="D308" s="6" t="s">
        <v>1439</v>
      </c>
      <c r="E308" s="6" t="s">
        <v>674</v>
      </c>
      <c r="F308" s="6" t="s">
        <v>1440</v>
      </c>
      <c r="G308" s="6" t="s">
        <v>1441</v>
      </c>
    </row>
    <row r="309" spans="1:7" x14ac:dyDescent="0.25">
      <c r="A309" s="6">
        <v>308</v>
      </c>
      <c r="B309" s="6" t="s">
        <v>31</v>
      </c>
      <c r="C309" s="6" t="s">
        <v>1442</v>
      </c>
      <c r="D309" s="6" t="s">
        <v>1443</v>
      </c>
      <c r="E309" s="6" t="s">
        <v>622</v>
      </c>
      <c r="F309" s="6" t="s">
        <v>1444</v>
      </c>
      <c r="G309" s="6" t="s">
        <v>1445</v>
      </c>
    </row>
    <row r="310" spans="1:7" x14ac:dyDescent="0.25">
      <c r="A310" s="6">
        <v>309</v>
      </c>
      <c r="B310" s="6" t="s">
        <v>31</v>
      </c>
      <c r="C310" s="6" t="s">
        <v>1446</v>
      </c>
      <c r="D310" s="6" t="s">
        <v>1447</v>
      </c>
      <c r="E310" s="6" t="s">
        <v>622</v>
      </c>
      <c r="F310" s="6" t="s">
        <v>1448</v>
      </c>
      <c r="G310" s="6" t="s">
        <v>908</v>
      </c>
    </row>
    <row r="311" spans="1:7" x14ac:dyDescent="0.25">
      <c r="A311" s="6">
        <v>310</v>
      </c>
      <c r="B311" s="6" t="s">
        <v>31</v>
      </c>
      <c r="C311" s="6" t="s">
        <v>1449</v>
      </c>
      <c r="D311" s="6" t="s">
        <v>1450</v>
      </c>
      <c r="E311" s="6" t="s">
        <v>622</v>
      </c>
      <c r="F311" s="6" t="s">
        <v>1451</v>
      </c>
      <c r="G311" s="6" t="s">
        <v>1452</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0"/>
  <sheetFormatPr defaultRowHeight="15" outlineLevelRow="0" outlineLevelCol="0" x14ac:dyDescent="55"/>
  <cols>
    <col min="1" max="1" width="46" customWidth="1"/>
    <col min="2" max="2" width="14" customWidth="1"/>
    <col min="3" max="3" width="70" customWidth="1"/>
  </cols>
  <sheetData>
    <row r="1" spans="1:3" x14ac:dyDescent="0.25">
      <c r="A1" s="1" t="s">
        <v>1453</v>
      </c>
      <c r="B1" s="13"/>
      <c r="C1" s="6" t="s">
        <v>93</v>
      </c>
    </row>
    <row r="2" spans="1:3" x14ac:dyDescent="0.25">
      <c r="A2" s="14" t="s">
        <v>1454</v>
      </c>
      <c r="B2" s="13"/>
      <c r="C2" s="6" t="s">
        <v>93</v>
      </c>
    </row>
    <row r="3" spans="1:3" x14ac:dyDescent="0.25">
      <c r="A3" s="13" t="s">
        <v>1455</v>
      </c>
      <c r="B3" s="15"/>
      <c r="C3" s="6" t="s">
        <v>1456</v>
      </c>
    </row>
    <row r="4" spans="1:3" x14ac:dyDescent="0.25">
      <c r="A4" s="13" t="s">
        <v>1457</v>
      </c>
      <c r="B4" s="15"/>
      <c r="C4" s="6" t="s">
        <v>1458</v>
      </c>
    </row>
    <row r="5" spans="1:3" x14ac:dyDescent="0.25">
      <c r="A5" s="14" t="s">
        <v>1459</v>
      </c>
      <c r="B5" s="13"/>
      <c r="C5" s="6" t="s">
        <v>93</v>
      </c>
    </row>
    <row r="6" spans="1:3" x14ac:dyDescent="0.25">
      <c r="A6" s="13" t="s">
        <v>1460</v>
      </c>
      <c r="B6" s="13">
        <f>COUNTA(Candidates!$C$5:$C$39)</f>
      </c>
      <c r="C6" s="6" t="s">
        <v>1461</v>
      </c>
    </row>
    <row r="7" spans="1:3" x14ac:dyDescent="0.25">
      <c r="A7" s="13" t="s">
        <v>1462</v>
      </c>
      <c r="B7" s="13">
        <f>COUNTIF(Candidates!$N$5:$N$39,"yes")+COUNTIF(Candidates!$N$5:$N$39,"maybe")+COUNTIF(Candidates!$N$5:$N$39,"no")</f>
      </c>
      <c r="C7" s="6" t="s">
        <v>1463</v>
      </c>
    </row>
    <row r="8" spans="1:3" x14ac:dyDescent="0.25">
      <c r="A8" s="13" t="s">
        <v>1464</v>
      </c>
      <c r="B8" s="13">
        <f>COUNTIF(Candidates!$N$5:$N$39,"yes")</f>
      </c>
      <c r="C8" s="6" t="s">
        <v>93</v>
      </c>
    </row>
    <row r="9" spans="1:3" x14ac:dyDescent="0.25">
      <c r="A9" s="13" t="s">
        <v>1465</v>
      </c>
      <c r="B9" s="13">
        <f>COUNTIF(Candidates!$N$5:$N$39,"maybe")</f>
      </c>
      <c r="C9" s="6" t="s">
        <v>93</v>
      </c>
    </row>
    <row r="10" spans="1:3" x14ac:dyDescent="0.25">
      <c r="A10" s="13" t="s">
        <v>1466</v>
      </c>
      <c r="B10" s="13">
        <f>COUNTIF(Candidates!$N$5:$N$39,"no")</f>
      </c>
      <c r="C10" s="6" t="s">
        <v>93</v>
      </c>
    </row>
    <row r="11" spans="1:3" x14ac:dyDescent="0.25">
      <c r="A11" s="13" t="s">
        <v>1467</v>
      </c>
      <c r="B11" s="16">
        <f>IF(B6=0,0,B8/B6)</f>
      </c>
      <c r="C11" s="6" t="s">
        <v>1468</v>
      </c>
    </row>
    <row r="12" spans="1:3" x14ac:dyDescent="0.25">
      <c r="A12" s="13" t="s">
        <v>1469</v>
      </c>
      <c r="B12" s="16">
        <f>IF(B6=0,0,(B8+B9)/B6)</f>
      </c>
      <c r="C12" s="6" t="s">
        <v>93</v>
      </c>
    </row>
    <row r="13" spans="1:3" x14ac:dyDescent="0.25">
      <c r="A13" s="13" t="s">
        <v>1470</v>
      </c>
      <c r="B13" s="16">
        <f>COUNTIFS(Candidates!$A$5:$A$39,"&lt;=10",Candidates!$N$5:$N$39,"yes")/10</f>
      </c>
      <c r="C13" s="6" t="s">
        <v>1471</v>
      </c>
    </row>
    <row r="14" spans="1:3" x14ac:dyDescent="0.25">
      <c r="A14" s="13" t="s">
        <v>1472</v>
      </c>
      <c r="B14" s="16">
        <f>COUNTIFS(Candidates!$S$5:$S$39,"&lt;=10",Candidates!$N$5:$N$39,"yes")/10</f>
      </c>
      <c r="C14" s="6" t="s">
        <v>1473</v>
      </c>
    </row>
    <row r="15" spans="1:3" x14ac:dyDescent="0.25">
      <c r="A15" s="13" t="s">
        <v>1474</v>
      </c>
      <c r="B15" s="13">
        <f>COUNTIF(Candidates!$M$5:$M$39,"Shortlist")</f>
      </c>
      <c r="C15" s="6" t="s">
        <v>1475</v>
      </c>
    </row>
    <row r="16" spans="1:3" x14ac:dyDescent="0.25">
      <c r="A16" s="13" t="s">
        <v>1476</v>
      </c>
      <c r="B16" s="13">
        <f>SUM(Candidates!$P$5:$P$39)</f>
      </c>
      <c r="C16" s="6" t="s">
        <v>1477</v>
      </c>
    </row>
    <row r="17" spans="1:3" x14ac:dyDescent="0.25">
      <c r="A17" s="13" t="s">
        <v>1478</v>
      </c>
      <c r="B17" s="17">
        <f>IF(B8=0,0,B4/60/B8)</f>
      </c>
      <c r="C17" s="6" t="s">
        <v>1479</v>
      </c>
    </row>
    <row r="18" spans="1:3" x14ac:dyDescent="0.25">
      <c r="A18" s="14" t="s">
        <v>1480</v>
      </c>
      <c r="B18" s="13"/>
      <c r="C18" s="6" t="s">
        <v>93</v>
      </c>
    </row>
    <row r="19" spans="1:3" x14ac:dyDescent="0.25">
      <c r="A19" s="13" t="s">
        <v>1481</v>
      </c>
      <c r="B19" s="13" t="s">
        <v>1482</v>
      </c>
      <c r="C19" s="6" t="s">
        <v>93</v>
      </c>
    </row>
    <row r="20" spans="1:3" x14ac:dyDescent="0.25">
      <c r="A20" s="13" t="s">
        <v>1483</v>
      </c>
      <c r="B20" s="13" t="s">
        <v>1484</v>
      </c>
      <c r="C20" s="6" t="s">
        <v>93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FormatPr defaultRowHeight="15" outlineLevelRow="0" outlineLevelCol="0" x14ac:dyDescent="55"/>
  <cols>
    <col min="1" max="1" width="16" customWidth="1"/>
    <col min="2" max="2" width="26" customWidth="1"/>
    <col min="3" max="3" width="30" customWidth="1"/>
    <col min="4" max="4" width="34" customWidth="1"/>
    <col min="5" max="5" width="30" customWidth="1"/>
  </cols>
  <sheetData>
    <row r="1" ht="30" customHeight="1" spans="1:5" x14ac:dyDescent="0.25">
      <c r="A1" s="4" t="s">
        <v>1485</v>
      </c>
      <c r="B1" s="18" t="s">
        <v>1486</v>
      </c>
      <c r="C1" s="19" t="s">
        <v>1487</v>
      </c>
      <c r="D1" s="20" t="s">
        <v>1488</v>
      </c>
      <c r="E1" s="4" t="s">
        <v>1489</v>
      </c>
    </row>
    <row r="2" spans="1:5" x14ac:dyDescent="0.25">
      <c r="A2" s="6" t="s">
        <v>1490</v>
      </c>
      <c r="B2" s="6" t="s">
        <v>1491</v>
      </c>
      <c r="C2" s="6" t="s">
        <v>1492</v>
      </c>
      <c r="D2" s="6" t="s">
        <v>1493</v>
      </c>
      <c r="E2" s="6" t="s">
        <v>1494</v>
      </c>
    </row>
    <row r="3" spans="1:5" x14ac:dyDescent="0.25">
      <c r="A3" s="6" t="s">
        <v>8</v>
      </c>
      <c r="B3" s="6" t="s">
        <v>1495</v>
      </c>
      <c r="C3" s="6" t="s">
        <v>1496</v>
      </c>
      <c r="D3" s="6" t="s">
        <v>1497</v>
      </c>
      <c r="E3" s="6" t="s">
        <v>1498</v>
      </c>
    </row>
    <row r="4" spans="1:5" x14ac:dyDescent="0.25">
      <c r="A4" s="6" t="s">
        <v>1499</v>
      </c>
      <c r="B4" s="6" t="s">
        <v>1500</v>
      </c>
      <c r="C4" s="6" t="s">
        <v>1501</v>
      </c>
      <c r="D4" s="6" t="s">
        <v>1502</v>
      </c>
      <c r="E4" s="6" t="s">
        <v>1498</v>
      </c>
    </row>
    <row r="5" spans="1:5" x14ac:dyDescent="0.25">
      <c r="A5" s="6" t="s">
        <v>1503</v>
      </c>
      <c r="B5" s="6" t="s">
        <v>1504</v>
      </c>
      <c r="C5" s="6" t="s">
        <v>1505</v>
      </c>
      <c r="D5" s="6" t="s">
        <v>1506</v>
      </c>
      <c r="E5" s="6" t="s">
        <v>1498</v>
      </c>
    </row>
    <row r="6" spans="1:5" x14ac:dyDescent="0.25">
      <c r="A6" s="6" t="s">
        <v>1507</v>
      </c>
      <c r="B6" s="6" t="s">
        <v>1508</v>
      </c>
      <c r="C6" s="6" t="s">
        <v>1509</v>
      </c>
      <c r="D6" s="6" t="s">
        <v>1510</v>
      </c>
      <c r="E6" s="6" t="s">
        <v>1498</v>
      </c>
    </row>
    <row r="7" spans="1:5" x14ac:dyDescent="0.25">
      <c r="A7" s="6" t="s">
        <v>1511</v>
      </c>
      <c r="B7" s="6" t="s">
        <v>1512</v>
      </c>
      <c r="C7" s="6" t="s">
        <v>1513</v>
      </c>
      <c r="D7" s="6" t="s">
        <v>1514</v>
      </c>
      <c r="E7" s="6" t="s">
        <v>1515</v>
      </c>
    </row>
    <row r="8" spans="1:5" x14ac:dyDescent="0.25">
      <c r="A8" s="6" t="s">
        <v>13</v>
      </c>
      <c r="B8" s="6" t="s">
        <v>1516</v>
      </c>
      <c r="C8" s="6" t="s">
        <v>1517</v>
      </c>
      <c r="D8" s="6" t="s">
        <v>1518</v>
      </c>
      <c r="E8" s="6" t="s">
        <v>1519</v>
      </c>
    </row>
    <row r="9" spans="1:5" x14ac:dyDescent="0.25">
      <c r="A9" s="6" t="s">
        <v>14</v>
      </c>
      <c r="B9" s="6" t="s">
        <v>1520</v>
      </c>
      <c r="C9" s="6" t="s">
        <v>1521</v>
      </c>
      <c r="D9" s="6" t="s">
        <v>1522</v>
      </c>
      <c r="E9" s="6" t="s">
        <v>1523</v>
      </c>
    </row>
    <row r="10" spans="1:5" x14ac:dyDescent="0.25">
      <c r="A10" s="6" t="s">
        <v>1524</v>
      </c>
      <c r="B10" s="6" t="s">
        <v>1525</v>
      </c>
      <c r="C10" s="6" t="s">
        <v>1526</v>
      </c>
      <c r="D10" s="6" t="s">
        <v>1527</v>
      </c>
      <c r="E10" s="6" t="s">
        <v>1528</v>
      </c>
    </row>
    <row r="12" spans="1:1" x14ac:dyDescent="0.25">
      <c r="A12" s="21" t="s">
        <v>1529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Candidates</vt:lpstr>
      <vt:lpstr>Score reasons</vt:lpstr>
      <vt:lpstr>Gated out</vt:lpstr>
      <vt:lpstr>Summary</vt:lpstr>
      <vt:lpstr>Rubric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opportunity-finder scout</dc:creator>
  <dc:title/>
  <dc:subject/>
  <dc:description/>
  <cp:keywords/>
  <cp:category/>
  <cp:lastModifiedBy>Unknown</cp:lastModifiedBy>
  <dcterms:created xsi:type="dcterms:W3CDTF">2026-10-05T13:39:07Z</dcterms:created>
  <dcterms:modified xsi:type="dcterms:W3CDTF">2026-10-05T13:39:07Z</dcterms:modified>
</cp:coreProperties>
</file>